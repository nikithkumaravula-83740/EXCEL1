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EXCEL PRACTICE\"/>
    </mc:Choice>
  </mc:AlternateContent>
  <xr:revisionPtr revIDLastSave="0" documentId="13_ncr:1_{5F47F4F3-AEEB-436D-A829-9D349155AE2A}" xr6:coauthVersionLast="47" xr6:coauthVersionMax="47" xr10:uidLastSave="{00000000-0000-0000-0000-000000000000}"/>
  <bookViews>
    <workbookView xWindow="-110" yWindow="-110" windowWidth="19420" windowHeight="10300" activeTab="4" xr2:uid="{77F02C9B-10F8-4E7B-9576-09CEC8AC06D7}"/>
  </bookViews>
  <sheets>
    <sheet name="QUESTION 1" sheetId="1" r:id="rId1"/>
    <sheet name="QUESTION 2" sheetId="2" r:id="rId2"/>
    <sheet name="QUESTION 3" sheetId="3" r:id="rId3"/>
    <sheet name="QUESTION 7" sheetId="7" r:id="rId4"/>
    <sheet name="QUESTION 4,5,6,8" sheetId="4" r:id="rId5"/>
  </sheets>
  <definedNames>
    <definedName name="_xlnm._FilterDatabase" localSheetId="4" hidden="1">'QUESTION 4,5,6,8'!$A$1:$H$51</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4" l="1"/>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 i="4"/>
  <c r="H3" i="4"/>
  <c r="H4" i="4"/>
  <c r="H2" i="4"/>
  <c r="K15" i="4" s="1"/>
  <c r="K3" i="4"/>
  <c r="A8" i="3"/>
  <c r="A8" i="2"/>
  <c r="A29" i="1"/>
  <c r="A28" i="1"/>
  <c r="C23" i="1"/>
  <c r="B23" i="1"/>
  <c r="B12" i="1"/>
  <c r="A13" i="1"/>
  <c r="A14" i="1"/>
  <c r="C12" i="1"/>
</calcChain>
</file>

<file path=xl/sharedStrings.xml><?xml version="1.0" encoding="utf-8"?>
<sst xmlns="http://schemas.openxmlformats.org/spreadsheetml/2006/main" count="228" uniqueCount="127">
  <si>
    <t>1.Explain the difference between Relative , Absolute and Mixed Cell Referencing.</t>
  </si>
  <si>
    <t>"=A5"</t>
  </si>
  <si>
    <t>"=A6"</t>
  </si>
  <si>
    <t>"=A7"</t>
  </si>
  <si>
    <t>"=B5"</t>
  </si>
  <si>
    <t>"=C5"</t>
  </si>
  <si>
    <t>You have the following dataset:</t>
  </si>
  <si>
    <t>Car</t>
  </si>
  <si>
    <t>Bicycle</t>
  </si>
  <si>
    <t>Auto-Rickshaw</t>
  </si>
  <si>
    <t>2.Write a formula to calculate the total sales of Car and Bicyle only only.</t>
  </si>
  <si>
    <t xml:space="preserve">Ans: </t>
  </si>
  <si>
    <t xml:space="preserve">       Vehicle</t>
  </si>
  <si>
    <t xml:space="preserve">    Price</t>
  </si>
  <si>
    <t>A relative reference cell changes when we copy the formula to another cell.</t>
  </si>
  <si>
    <t>An absolute reference cell does not change when we copy and drag that to another cell.</t>
  </si>
  <si>
    <t>The "$" symbol locks both the columns and rows so the formula doesn’t change even if we drag down or side ways.</t>
  </si>
  <si>
    <t>"=$A$13"</t>
  </si>
  <si>
    <t>(Absolute reference cell):</t>
  </si>
  <si>
    <t>Mixed reference cell locks either the column or the row like:</t>
  </si>
  <si>
    <t>as "$" symbol is beside "A" which is known as column and as there is no dollar beside number the row formula changes.</t>
  </si>
  <si>
    <t>as "$" symbol is beside "21" which is known as row and as there is no dollar beside number the column formula changes.</t>
  </si>
  <si>
    <r>
      <rPr>
        <b/>
        <sz val="11"/>
        <color theme="1"/>
        <rFont val="Calibri"/>
        <family val="2"/>
        <scheme val="minor"/>
      </rPr>
      <t>(ROW)</t>
    </r>
    <r>
      <rPr>
        <sz val="11"/>
        <color theme="1"/>
        <rFont val="Calibri"/>
        <family val="2"/>
        <scheme val="minor"/>
      </rPr>
      <t>: If we use A$21 then it locks the row like if we drag the cell down the formula will be fixed it doesn’t change and when we drag side ways the columns formula will change</t>
    </r>
  </si>
  <si>
    <r>
      <rPr>
        <b/>
        <sz val="11"/>
        <color theme="1"/>
        <rFont val="Calibri"/>
        <family val="2"/>
        <scheme val="minor"/>
      </rPr>
      <t>(Mixed reference cell)</t>
    </r>
    <r>
      <rPr>
        <sz val="11"/>
        <color theme="1"/>
        <rFont val="Calibri"/>
        <family val="2"/>
        <scheme val="minor"/>
      </rPr>
      <t>:</t>
    </r>
  </si>
  <si>
    <r>
      <t xml:space="preserve">Ans: </t>
    </r>
    <r>
      <rPr>
        <b/>
        <sz val="11"/>
        <color theme="1"/>
        <rFont val="Calibri"/>
        <family val="2"/>
        <scheme val="minor"/>
      </rPr>
      <t>(Relative reference cell)</t>
    </r>
  </si>
  <si>
    <r>
      <rPr>
        <b/>
        <sz val="11"/>
        <color theme="1"/>
        <rFont val="Calibri"/>
        <family val="2"/>
        <scheme val="minor"/>
      </rPr>
      <t>Example</t>
    </r>
    <r>
      <rPr>
        <sz val="11"/>
        <color theme="1"/>
        <rFont val="Calibri"/>
        <family val="2"/>
        <scheme val="minor"/>
      </rPr>
      <t>:If formula is =$A$13 it will always remain same even if you drag down or side ways no matter which side you drag.</t>
    </r>
  </si>
  <si>
    <r>
      <rPr>
        <b/>
        <sz val="11"/>
        <color theme="1"/>
        <rFont val="Calibri"/>
        <family val="2"/>
        <scheme val="minor"/>
      </rPr>
      <t>Example:</t>
    </r>
    <r>
      <rPr>
        <sz val="11"/>
        <color theme="1"/>
        <rFont val="Calibri"/>
        <family val="2"/>
        <scheme val="minor"/>
      </rPr>
      <t>If formula is =A5 and when we copy and drag it down, it becomes =A6, =A7 etc and when you copy it and drag side ways, it becomes =A5 to =B5, =C5 etc.</t>
    </r>
  </si>
  <si>
    <t>Example:</t>
  </si>
  <si>
    <t>(COLUMN)</t>
  </si>
  <si>
    <t>"=$A24"</t>
  </si>
  <si>
    <t>"=A25"</t>
  </si>
  <si>
    <t>"=A26"</t>
  </si>
  <si>
    <t>(ROW)</t>
  </si>
  <si>
    <r>
      <rPr>
        <b/>
        <sz val="11"/>
        <color theme="1"/>
        <rFont val="Calibri"/>
        <family val="2"/>
        <scheme val="minor"/>
      </rPr>
      <t>(COLUMN)</t>
    </r>
    <r>
      <rPr>
        <sz val="11"/>
        <color theme="1"/>
        <rFont val="Calibri"/>
        <family val="2"/>
        <scheme val="minor"/>
      </rPr>
      <t>: If we use $A24 this locks the column means column formula will be same if you drag side ways we get same formula but if we drag down the formula changes</t>
    </r>
  </si>
  <si>
    <t>"=A$28"</t>
  </si>
  <si>
    <t>"=B28"</t>
  </si>
  <si>
    <t>"=C28"</t>
  </si>
  <si>
    <t>So we get the formula as : "=SUMIF(A3:A5,"Car",B3:B5)+SUMIF(A3:A5,"Bicycle",B3:B5)"</t>
  </si>
  <si>
    <t xml:space="preserve">Using the data below, write a formula to calculate the average sales of items priced above 100 but less than 300: </t>
  </si>
  <si>
    <t>Note : Use the following Dataset and solve the following questions.</t>
  </si>
  <si>
    <t>ITEM</t>
  </si>
  <si>
    <t>PRICE</t>
  </si>
  <si>
    <t>SALES</t>
  </si>
  <si>
    <t>Item A</t>
  </si>
  <si>
    <t>Item B</t>
  </si>
  <si>
    <t>Item C</t>
  </si>
  <si>
    <t>Ans:</t>
  </si>
  <si>
    <t>Formula: "=AVGIFS(C3:C5,B3:B5,"&gt;100",B3:B5,&lt;300"</t>
  </si>
  <si>
    <t>Using AVGIFS as we have multiple conditions in this question.</t>
  </si>
  <si>
    <t>OrderID</t>
  </si>
  <si>
    <t>CustomerName</t>
  </si>
  <si>
    <t>Region</t>
  </si>
  <si>
    <t>Product</t>
  </si>
  <si>
    <t>Quantity</t>
  </si>
  <si>
    <t>UnitPrice</t>
  </si>
  <si>
    <t>OrderDate</t>
  </si>
  <si>
    <t>Amit Sharma</t>
  </si>
  <si>
    <t>North</t>
  </si>
  <si>
    <t>Notebook</t>
  </si>
  <si>
    <t>Neha Verma</t>
  </si>
  <si>
    <t>South</t>
  </si>
  <si>
    <t>Pen</t>
  </si>
  <si>
    <t>Rahul Singh</t>
  </si>
  <si>
    <t>East</t>
  </si>
  <si>
    <t>Marker</t>
  </si>
  <si>
    <t>Pooja Mehta</t>
  </si>
  <si>
    <t>West</t>
  </si>
  <si>
    <t>Ankit Jain</t>
  </si>
  <si>
    <t>Pencil</t>
  </si>
  <si>
    <t>Sneha Patel</t>
  </si>
  <si>
    <t>Vikas Gupta</t>
  </si>
  <si>
    <t>Eraser</t>
  </si>
  <si>
    <t>Meera Nair</t>
  </si>
  <si>
    <t>Anjali Rao</t>
  </si>
  <si>
    <t>Manoj Das</t>
  </si>
  <si>
    <t>Ritika Sen</t>
  </si>
  <si>
    <t>Karan Malhotra</t>
  </si>
  <si>
    <t>Aryan Joshi</t>
  </si>
  <si>
    <t>Divya Kapoor</t>
  </si>
  <si>
    <t>Sahil Arora</t>
  </si>
  <si>
    <t>Muskan Jain</t>
  </si>
  <si>
    <t>Rohan Gupta</t>
  </si>
  <si>
    <t>Nidhi Sharma</t>
  </si>
  <si>
    <t>Tarun Verma</t>
  </si>
  <si>
    <t>Simran Kaur</t>
  </si>
  <si>
    <t>Deepak Rao</t>
  </si>
  <si>
    <t>Payal Mehta</t>
  </si>
  <si>
    <t>Aditya Singh</t>
  </si>
  <si>
    <t>Shreya Nair</t>
  </si>
  <si>
    <t>Sanjay Kumar</t>
  </si>
  <si>
    <t>Aarti Sharma</t>
  </si>
  <si>
    <t>Rajesh Patel</t>
  </si>
  <si>
    <t>Preeti Joshi</t>
  </si>
  <si>
    <t>Anurag Mishra</t>
  </si>
  <si>
    <t>Sanya Kapoor</t>
  </si>
  <si>
    <t>Harsh Yadav</t>
  </si>
  <si>
    <t>Kajal Rani</t>
  </si>
  <si>
    <t>Varun Sharma</t>
  </si>
  <si>
    <t>Swati Arora</t>
  </si>
  <si>
    <t>Akhil Jain</t>
  </si>
  <si>
    <t>Priyanka Das</t>
  </si>
  <si>
    <t>Ravi Nair</t>
  </si>
  <si>
    <t>Komal Singh</t>
  </si>
  <si>
    <t>Ayesha Khan</t>
  </si>
  <si>
    <t>Arjun Mehta</t>
  </si>
  <si>
    <t>Sonali Gupta</t>
  </si>
  <si>
    <t>Neeraj Kapoor</t>
  </si>
  <si>
    <t>Shruti Sharma</t>
  </si>
  <si>
    <t>Yash Arora</t>
  </si>
  <si>
    <t>Manish Das</t>
  </si>
  <si>
    <t>Rupal Nair</t>
  </si>
  <si>
    <t>Sonia Verma</t>
  </si>
  <si>
    <t>Kunal Singh</t>
  </si>
  <si>
    <t>Ritika Jain</t>
  </si>
  <si>
    <t>Vivek Malhotra</t>
  </si>
  <si>
    <t>4.Count how many customer names are recorded.</t>
  </si>
  <si>
    <t>Ans.</t>
  </si>
  <si>
    <t>5.Calculate the Total Sales for each row using a formula.</t>
  </si>
  <si>
    <t>6.Calculate the total sales of Notebooks in the North region only.</t>
  </si>
  <si>
    <t>Formula:"=COUNTA(B2:B51)" as we are not having numeric values we should use COUNTA so it counts all non empty cells.</t>
  </si>
  <si>
    <t>TOTAL SALES</t>
  </si>
  <si>
    <t xml:space="preserve">I have created a new column "H" and named it as total sales Which is </t>
  </si>
  <si>
    <t>E multiplied by F(=E*F)Eit gives total sales and drag that down it will multiply with all rows.</t>
  </si>
  <si>
    <t>Formula:"=SUMIFS(H2:H51,D2:D51,"Notebook",C2:C51,"North")</t>
  </si>
  <si>
    <t>7.Create a column chart showing total sales by product.</t>
  </si>
  <si>
    <t>Sum of TOTAL SALES</t>
  </si>
  <si>
    <t>8.Insert a line chart showing daily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</si>
</sst>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s>
  <fills count="6">
    <fill>
      <patternFill patternType="none"/>
    </fill>
    <fill>
      <patternFill patternType="gray125"/>
    </fill>
    <fill>
      <patternFill patternType="solid">
        <fgColor rgb="FFFFC000"/>
        <bgColor indexed="64"/>
      </patternFill>
    </fill>
    <fill>
      <patternFill patternType="solid">
        <fgColor theme="9" tint="0.39997558519241921"/>
        <bgColor indexed="64"/>
      </patternFill>
    </fill>
    <fill>
      <patternFill patternType="solid">
        <fgColor theme="7"/>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0" fillId="2" borderId="0" xfId="0" applyFill="1"/>
    <xf numFmtId="0" fontId="0" fillId="3" borderId="0" xfId="0" applyFill="1"/>
    <xf numFmtId="0" fontId="0" fillId="4" borderId="0" xfId="0" applyFill="1"/>
    <xf numFmtId="0" fontId="0" fillId="4" borderId="1" xfId="0" applyFill="1" applyBorder="1"/>
    <xf numFmtId="0" fontId="1" fillId="4" borderId="1" xfId="0" applyFont="1" applyFill="1" applyBorder="1"/>
    <xf numFmtId="0" fontId="0" fillId="5" borderId="0" xfId="0" applyFill="1"/>
    <xf numFmtId="0" fontId="1" fillId="3" borderId="0" xfId="0" applyFont="1" applyFill="1"/>
    <xf numFmtId="0" fontId="1" fillId="2" borderId="0" xfId="0" applyFont="1" applyFill="1"/>
    <xf numFmtId="0" fontId="1" fillId="4" borderId="0" xfId="0" applyFont="1" applyFill="1"/>
    <xf numFmtId="0" fontId="2" fillId="0" borderId="2" xfId="0" applyFont="1" applyBorder="1" applyAlignment="1">
      <alignment wrapText="1"/>
    </xf>
    <xf numFmtId="0" fontId="3" fillId="0" borderId="2" xfId="0" applyFont="1" applyBorder="1" applyAlignment="1">
      <alignment horizontal="right" wrapText="1"/>
    </xf>
    <xf numFmtId="0" fontId="3" fillId="0" borderId="2" xfId="0" applyFont="1" applyBorder="1" applyAlignment="1">
      <alignment wrapText="1"/>
    </xf>
    <xf numFmtId="14" fontId="3" fillId="0" borderId="2" xfId="0" applyNumberFormat="1" applyFont="1" applyBorder="1" applyAlignment="1">
      <alignment horizontal="right" wrapText="1"/>
    </xf>
    <xf numFmtId="0" fontId="1" fillId="0" borderId="0" xfId="0" applyFont="1"/>
  </cellXfs>
  <cellStyles count="1">
    <cellStyle name="Normal" xfId="0" builtinId="0"/>
  </cellStyles>
  <dxfs count="5">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BASICS ASSIGNMENT1.xlsx]QUESTION 7!PivotTable63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7'!$A$4:$A$8</c:f>
              <c:strCache>
                <c:ptCount val="5"/>
                <c:pt idx="0">
                  <c:v>Eraser</c:v>
                </c:pt>
                <c:pt idx="1">
                  <c:v>Marker</c:v>
                </c:pt>
                <c:pt idx="2">
                  <c:v>Notebook</c:v>
                </c:pt>
                <c:pt idx="3">
                  <c:v>Pen</c:v>
                </c:pt>
                <c:pt idx="4">
                  <c:v>Pencil</c:v>
                </c:pt>
              </c:strCache>
            </c:strRef>
          </c:cat>
          <c:val>
            <c:numRef>
              <c:f>'QUESTION 7'!$B$4:$B$8</c:f>
              <c:numCache>
                <c:formatCode>General</c:formatCode>
                <c:ptCount val="5"/>
                <c:pt idx="0">
                  <c:v>1928</c:v>
                </c:pt>
                <c:pt idx="1">
                  <c:v>3650</c:v>
                </c:pt>
                <c:pt idx="2">
                  <c:v>7550</c:v>
                </c:pt>
                <c:pt idx="3">
                  <c:v>2180</c:v>
                </c:pt>
                <c:pt idx="4">
                  <c:v>1235</c:v>
                </c:pt>
              </c:numCache>
            </c:numRef>
          </c:val>
          <c:extLst>
            <c:ext xmlns:c16="http://schemas.microsoft.com/office/drawing/2014/chart" uri="{C3380CC4-5D6E-409C-BE32-E72D297353CC}">
              <c16:uniqueId val="{00000000-F07D-406E-9EC4-D3E73FC62B08}"/>
            </c:ext>
          </c:extLst>
        </c:ser>
        <c:dLbls>
          <c:dLblPos val="outEnd"/>
          <c:showLegendKey val="0"/>
          <c:showVal val="1"/>
          <c:showCatName val="0"/>
          <c:showSerName val="0"/>
          <c:showPercent val="0"/>
          <c:showBubbleSize val="0"/>
        </c:dLbls>
        <c:gapWidth val="219"/>
        <c:overlap val="-27"/>
        <c:axId val="1642744191"/>
        <c:axId val="1642740831"/>
      </c:barChart>
      <c:catAx>
        <c:axId val="164274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40831"/>
        <c:crosses val="autoZero"/>
        <c:auto val="1"/>
        <c:lblAlgn val="ctr"/>
        <c:lblOffset val="100"/>
        <c:noMultiLvlLbl val="0"/>
      </c:catAx>
      <c:valAx>
        <c:axId val="164274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441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'QUESTION 4,5,6,8'!$H$1</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'QUESTION 4,5,6,8'!$G$2:$G$51</c:f>
              <c:numCache>
                <c:formatCode>m/d/yyyy</c:formatCode>
                <c:ptCount val="50"/>
                <c:pt idx="0">
                  <c:v>45296</c:v>
                </c:pt>
                <c:pt idx="1">
                  <c:v>45297</c:v>
                </c:pt>
                <c:pt idx="2">
                  <c:v>45298</c:v>
                </c:pt>
                <c:pt idx="3">
                  <c:v>45299</c:v>
                </c:pt>
                <c:pt idx="4">
                  <c:v>45301</c:v>
                </c:pt>
                <c:pt idx="5">
                  <c:v>45302</c:v>
                </c:pt>
                <c:pt idx="6">
                  <c:v>45304</c:v>
                </c:pt>
                <c:pt idx="7">
                  <c:v>45306</c:v>
                </c:pt>
                <c:pt idx="8">
                  <c:v>45308</c:v>
                </c:pt>
                <c:pt idx="9">
                  <c:v>45309</c:v>
                </c:pt>
                <c:pt idx="10">
                  <c:v>45310</c:v>
                </c:pt>
                <c:pt idx="11">
                  <c:v>45311</c:v>
                </c:pt>
                <c:pt idx="12">
                  <c:v>45313</c:v>
                </c:pt>
                <c:pt idx="13">
                  <c:v>45314</c:v>
                </c:pt>
                <c:pt idx="14">
                  <c:v>45315</c:v>
                </c:pt>
                <c:pt idx="15">
                  <c:v>45317</c:v>
                </c:pt>
                <c:pt idx="16">
                  <c:v>45319</c:v>
                </c:pt>
                <c:pt idx="17">
                  <c:v>45320</c:v>
                </c:pt>
                <c:pt idx="18">
                  <c:v>45321</c:v>
                </c:pt>
                <c:pt idx="19">
                  <c:v>45323</c:v>
                </c:pt>
                <c:pt idx="20">
                  <c:v>45324</c:v>
                </c:pt>
                <c:pt idx="21">
                  <c:v>45325</c:v>
                </c:pt>
                <c:pt idx="22">
                  <c:v>45326</c:v>
                </c:pt>
                <c:pt idx="23">
                  <c:v>45328</c:v>
                </c:pt>
                <c:pt idx="24">
                  <c:v>45329</c:v>
                </c:pt>
                <c:pt idx="25">
                  <c:v>45330</c:v>
                </c:pt>
                <c:pt idx="26">
                  <c:v>45331</c:v>
                </c:pt>
                <c:pt idx="27">
                  <c:v>45332</c:v>
                </c:pt>
                <c:pt idx="28">
                  <c:v>45334</c:v>
                </c:pt>
                <c:pt idx="29">
                  <c:v>45335</c:v>
                </c:pt>
                <c:pt idx="30">
                  <c:v>45336</c:v>
                </c:pt>
                <c:pt idx="31">
                  <c:v>45338</c:v>
                </c:pt>
                <c:pt idx="32">
                  <c:v>45339</c:v>
                </c:pt>
                <c:pt idx="33">
                  <c:v>45340</c:v>
                </c:pt>
                <c:pt idx="34">
                  <c:v>45341</c:v>
                </c:pt>
                <c:pt idx="35">
                  <c:v>45343</c:v>
                </c:pt>
                <c:pt idx="36">
                  <c:v>45344</c:v>
                </c:pt>
                <c:pt idx="37">
                  <c:v>45345</c:v>
                </c:pt>
                <c:pt idx="38">
                  <c:v>45347</c:v>
                </c:pt>
                <c:pt idx="39">
                  <c:v>45348</c:v>
                </c:pt>
                <c:pt idx="40">
                  <c:v>45349</c:v>
                </c:pt>
                <c:pt idx="41">
                  <c:v>45350</c:v>
                </c:pt>
                <c:pt idx="42">
                  <c:v>45352</c:v>
                </c:pt>
                <c:pt idx="43">
                  <c:v>45353</c:v>
                </c:pt>
                <c:pt idx="44">
                  <c:v>45354</c:v>
                </c:pt>
                <c:pt idx="45">
                  <c:v>45355</c:v>
                </c:pt>
                <c:pt idx="46">
                  <c:v>45356</c:v>
                </c:pt>
                <c:pt idx="47">
                  <c:v>45357</c:v>
                </c:pt>
                <c:pt idx="48">
                  <c:v>45358</c:v>
                </c:pt>
                <c:pt idx="49">
                  <c:v>45359</c:v>
                </c:pt>
              </c:numCache>
            </c:numRef>
          </c:cat>
          <c:val>
            <c:numRef>
              <c:f>'QUESTION 4,5,6,8'!$H$2:$H$51</c:f>
              <c:numCache>
                <c:formatCode>General</c:formatCode>
                <c:ptCount val="50"/>
                <c:pt idx="0">
                  <c:v>500</c:v>
                </c:pt>
                <c:pt idx="1">
                  <c:v>200</c:v>
                </c:pt>
                <c:pt idx="2">
                  <c:v>375</c:v>
                </c:pt>
                <c:pt idx="3">
                  <c:v>250</c:v>
                </c:pt>
                <c:pt idx="4">
                  <c:v>150</c:v>
                </c:pt>
                <c:pt idx="5">
                  <c:v>600</c:v>
                </c:pt>
                <c:pt idx="6">
                  <c:v>200</c:v>
                </c:pt>
                <c:pt idx="7">
                  <c:v>180</c:v>
                </c:pt>
                <c:pt idx="8">
                  <c:v>550</c:v>
                </c:pt>
                <c:pt idx="9">
                  <c:v>400</c:v>
                </c:pt>
                <c:pt idx="10">
                  <c:v>200</c:v>
                </c:pt>
                <c:pt idx="11">
                  <c:v>280</c:v>
                </c:pt>
                <c:pt idx="12">
                  <c:v>700</c:v>
                </c:pt>
                <c:pt idx="13">
                  <c:v>280</c:v>
                </c:pt>
                <c:pt idx="14">
                  <c:v>300</c:v>
                </c:pt>
                <c:pt idx="15">
                  <c:v>125</c:v>
                </c:pt>
                <c:pt idx="16">
                  <c:v>160</c:v>
                </c:pt>
                <c:pt idx="17">
                  <c:v>500</c:v>
                </c:pt>
                <c:pt idx="18">
                  <c:v>150</c:v>
                </c:pt>
                <c:pt idx="19">
                  <c:v>450</c:v>
                </c:pt>
                <c:pt idx="20">
                  <c:v>450</c:v>
                </c:pt>
                <c:pt idx="21">
                  <c:v>175</c:v>
                </c:pt>
                <c:pt idx="22">
                  <c:v>240</c:v>
                </c:pt>
                <c:pt idx="23">
                  <c:v>550</c:v>
                </c:pt>
                <c:pt idx="24">
                  <c:v>140</c:v>
                </c:pt>
                <c:pt idx="25">
                  <c:v>400</c:v>
                </c:pt>
                <c:pt idx="26">
                  <c:v>110</c:v>
                </c:pt>
                <c:pt idx="27">
                  <c:v>216</c:v>
                </c:pt>
                <c:pt idx="28">
                  <c:v>650</c:v>
                </c:pt>
                <c:pt idx="29">
                  <c:v>320</c:v>
                </c:pt>
                <c:pt idx="30">
                  <c:v>250</c:v>
                </c:pt>
                <c:pt idx="31">
                  <c:v>90</c:v>
                </c:pt>
                <c:pt idx="32">
                  <c:v>176</c:v>
                </c:pt>
                <c:pt idx="33">
                  <c:v>850</c:v>
                </c:pt>
                <c:pt idx="34">
                  <c:v>190</c:v>
                </c:pt>
                <c:pt idx="35">
                  <c:v>375</c:v>
                </c:pt>
                <c:pt idx="36">
                  <c:v>140</c:v>
                </c:pt>
                <c:pt idx="37">
                  <c:v>192</c:v>
                </c:pt>
                <c:pt idx="38">
                  <c:v>800</c:v>
                </c:pt>
                <c:pt idx="39">
                  <c:v>270</c:v>
                </c:pt>
                <c:pt idx="40">
                  <c:v>525</c:v>
                </c:pt>
                <c:pt idx="41">
                  <c:v>150</c:v>
                </c:pt>
                <c:pt idx="42">
                  <c:v>208</c:v>
                </c:pt>
                <c:pt idx="43">
                  <c:v>700</c:v>
                </c:pt>
                <c:pt idx="44">
                  <c:v>200</c:v>
                </c:pt>
                <c:pt idx="45">
                  <c:v>425</c:v>
                </c:pt>
                <c:pt idx="46">
                  <c:v>95</c:v>
                </c:pt>
                <c:pt idx="47">
                  <c:v>256</c:v>
                </c:pt>
                <c:pt idx="48">
                  <c:v>600</c:v>
                </c:pt>
                <c:pt idx="49">
                  <c:v>250</c:v>
                </c:pt>
              </c:numCache>
            </c:numRef>
          </c:val>
          <c:smooth val="0"/>
          <c:extLst>
            <c:ext xmlns:c16="http://schemas.microsoft.com/office/drawing/2014/chart" uri="{C3380CC4-5D6E-409C-BE32-E72D297353CC}">
              <c16:uniqueId val="{00000000-45D2-43B6-B5E3-E0A0F01DF78B}"/>
            </c:ext>
          </c:extLst>
        </c:ser>
        <c:dLbls>
          <c:showLegendKey val="0"/>
          <c:showVal val="0"/>
          <c:showCatName val="0"/>
          <c:showSerName val="0"/>
          <c:showPercent val="0"/>
          <c:showBubbleSize val="0"/>
        </c:dLbls>
        <c:marker val="1"/>
        <c:smooth val="0"/>
        <c:axId val="1055486735"/>
        <c:axId val="1055487695"/>
      </c:lineChart>
      <c:dateAx>
        <c:axId val="105548673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487695"/>
        <c:crosses val="autoZero"/>
        <c:auto val="1"/>
        <c:lblOffset val="100"/>
        <c:baseTimeUnit val="days"/>
      </c:dateAx>
      <c:valAx>
        <c:axId val="105548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4867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390525</xdr:colOff>
      <xdr:row>2</xdr:row>
      <xdr:rowOff>133350</xdr:rowOff>
    </xdr:from>
    <xdr:to>
      <xdr:col>10</xdr:col>
      <xdr:colOff>85725</xdr:colOff>
      <xdr:row>17</xdr:row>
      <xdr:rowOff>114300</xdr:rowOff>
    </xdr:to>
    <xdr:graphicFrame macro="">
      <xdr:nvGraphicFramePr>
        <xdr:cNvPr id="2" name="Chart 1">
          <a:extLst>
            <a:ext uri="{FF2B5EF4-FFF2-40B4-BE49-F238E27FC236}">
              <a16:creationId xmlns:a16="http://schemas.microsoft.com/office/drawing/2014/main" id="{CF5D347F-47DB-6C84-DDA9-4B2D55E79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606424</xdr:colOff>
      <xdr:row>19</xdr:row>
      <xdr:rowOff>0</xdr:rowOff>
    </xdr:from>
    <xdr:to>
      <xdr:col>18</xdr:col>
      <xdr:colOff>133349</xdr:colOff>
      <xdr:row>33</xdr:row>
      <xdr:rowOff>76200</xdr:rowOff>
    </xdr:to>
    <xdr:graphicFrame macro="">
      <xdr:nvGraphicFramePr>
        <xdr:cNvPr id="2" name="Chart 1">
          <a:extLst>
            <a:ext uri="{FF2B5EF4-FFF2-40B4-BE49-F238E27FC236}">
              <a16:creationId xmlns:a16="http://schemas.microsoft.com/office/drawing/2014/main" id="{F32F14CB-B80A-F872-DCBD-112C6BBCF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ith a" refreshedDate="45995.605834027781" createdVersion="8" refreshedVersion="8" minRefreshableVersion="3" recordCount="50" xr:uid="{B8C71565-F8DA-43F0-860F-998347A33E5D}">
  <cacheSource type="worksheet">
    <worksheetSource ref="A1:H51" sheet="QUESTION 4,5,6,8"/>
  </cacheSource>
  <cacheFields count="8">
    <cacheField name="OrderID" numFmtId="0">
      <sharedItems containsSemiMixedTypes="0" containsString="0" containsNumber="1" containsInteger="1" minValue="1001" maxValue="1050"/>
    </cacheField>
    <cacheField name="CustomerName" numFmtId="0">
      <sharedItems/>
    </cacheField>
    <cacheField name="Region" numFmtId="0">
      <sharedItems/>
    </cacheField>
    <cacheField name="Product" numFmtId="0">
      <sharedItems count="5">
        <s v="Notebook"/>
        <s v="Pen"/>
        <s v="Marker"/>
        <s v="Pencil"/>
        <s v="Eraser"/>
      </sharedItems>
    </cacheField>
    <cacheField name="Quantity" numFmtId="0">
      <sharedItems containsSemiMixedTypes="0" containsString="0" containsNumber="1" containsInteger="1" minValue="5" maxValue="40"/>
    </cacheField>
    <cacheField name="UnitPrice" numFmtId="0">
      <sharedItems containsSemiMixedTypes="0" containsString="0" containsNumber="1" containsInteger="1" minValue="5" maxValue="50"/>
    </cacheField>
    <cacheField name="OrderDate" numFmtId="14">
      <sharedItems containsSemiMixedTypes="0" containsNonDate="0" containsDate="1" containsString="0" minDate="2024-01-05T00:00:00" maxDate="2024-03-09T00:00:00"/>
    </cacheField>
    <cacheField name="TOTAL SALES" numFmtId="0">
      <sharedItems containsSemiMixedTypes="0" containsString="0" containsNumber="1" containsInteger="1" minValue="90" maxValue="8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Amit Sharma"/>
    <s v="North"/>
    <x v="0"/>
    <n v="10"/>
    <n v="50"/>
    <d v="2024-01-05T00:00:00"/>
    <n v="500"/>
  </r>
  <r>
    <n v="1002"/>
    <s v="Neha Verma"/>
    <s v="South"/>
    <x v="1"/>
    <n v="20"/>
    <n v="10"/>
    <d v="2024-01-06T00:00:00"/>
    <n v="200"/>
  </r>
  <r>
    <n v="1003"/>
    <s v="Rahul Singh"/>
    <s v="East"/>
    <x v="2"/>
    <n v="15"/>
    <n v="25"/>
    <d v="2024-01-07T00:00:00"/>
    <n v="375"/>
  </r>
  <r>
    <n v="1004"/>
    <s v="Pooja Mehta"/>
    <s v="West"/>
    <x v="0"/>
    <n v="5"/>
    <n v="50"/>
    <d v="2024-01-08T00:00:00"/>
    <n v="250"/>
  </r>
  <r>
    <n v="1005"/>
    <s v="Ankit Jain"/>
    <s v="North"/>
    <x v="3"/>
    <n v="30"/>
    <n v="5"/>
    <d v="2024-01-10T00:00:00"/>
    <n v="150"/>
  </r>
  <r>
    <n v="1006"/>
    <s v="Sneha Patel"/>
    <s v="South"/>
    <x v="0"/>
    <n v="12"/>
    <n v="50"/>
    <d v="2024-01-11T00:00:00"/>
    <n v="600"/>
  </r>
  <r>
    <n v="1007"/>
    <s v="Vikas Gupta"/>
    <s v="East"/>
    <x v="4"/>
    <n v="25"/>
    <n v="8"/>
    <d v="2024-01-13T00:00:00"/>
    <n v="200"/>
  </r>
  <r>
    <n v="1008"/>
    <s v="Meera Nair"/>
    <s v="West"/>
    <x v="1"/>
    <n v="18"/>
    <n v="10"/>
    <d v="2024-01-15T00:00:00"/>
    <n v="180"/>
  </r>
  <r>
    <n v="1009"/>
    <s v="Anjali Rao"/>
    <s v="North"/>
    <x v="2"/>
    <n v="22"/>
    <n v="25"/>
    <d v="2024-01-17T00:00:00"/>
    <n v="550"/>
  </r>
  <r>
    <n v="1010"/>
    <s v="Manoj Das"/>
    <s v="South"/>
    <x v="0"/>
    <n v="8"/>
    <n v="50"/>
    <d v="2024-01-18T00:00:00"/>
    <n v="400"/>
  </r>
  <r>
    <n v="1011"/>
    <s v="Ritika Sen"/>
    <s v="East"/>
    <x v="3"/>
    <n v="40"/>
    <n v="5"/>
    <d v="2024-01-19T00:00:00"/>
    <n v="200"/>
  </r>
  <r>
    <n v="1012"/>
    <s v="Karan Malhotra"/>
    <s v="West"/>
    <x v="4"/>
    <n v="35"/>
    <n v="8"/>
    <d v="2024-01-20T00:00:00"/>
    <n v="280"/>
  </r>
  <r>
    <n v="1013"/>
    <s v="Aryan Joshi"/>
    <s v="North"/>
    <x v="0"/>
    <n v="14"/>
    <n v="50"/>
    <d v="2024-01-22T00:00:00"/>
    <n v="700"/>
  </r>
  <r>
    <n v="1014"/>
    <s v="Divya Kapoor"/>
    <s v="South"/>
    <x v="1"/>
    <n v="28"/>
    <n v="10"/>
    <d v="2024-01-23T00:00:00"/>
    <n v="280"/>
  </r>
  <r>
    <n v="1015"/>
    <s v="Sahil Arora"/>
    <s v="East"/>
    <x v="2"/>
    <n v="12"/>
    <n v="25"/>
    <d v="2024-01-24T00:00:00"/>
    <n v="300"/>
  </r>
  <r>
    <n v="1016"/>
    <s v="Muskan Jain"/>
    <s v="West"/>
    <x v="3"/>
    <n v="25"/>
    <n v="5"/>
    <d v="2024-01-26T00:00:00"/>
    <n v="125"/>
  </r>
  <r>
    <n v="1017"/>
    <s v="Rohan Gupta"/>
    <s v="North"/>
    <x v="4"/>
    <n v="20"/>
    <n v="8"/>
    <d v="2024-01-28T00:00:00"/>
    <n v="160"/>
  </r>
  <r>
    <n v="1018"/>
    <s v="Nidhi Sharma"/>
    <s v="South"/>
    <x v="0"/>
    <n v="10"/>
    <n v="50"/>
    <d v="2024-01-29T00:00:00"/>
    <n v="500"/>
  </r>
  <r>
    <n v="1019"/>
    <s v="Tarun Verma"/>
    <s v="East"/>
    <x v="1"/>
    <n v="15"/>
    <n v="10"/>
    <d v="2024-01-30T00:00:00"/>
    <n v="150"/>
  </r>
  <r>
    <n v="1020"/>
    <s v="Simran Kaur"/>
    <s v="West"/>
    <x v="2"/>
    <n v="18"/>
    <n v="25"/>
    <d v="2024-02-01T00:00:00"/>
    <n v="450"/>
  </r>
  <r>
    <n v="1021"/>
    <s v="Deepak Rao"/>
    <s v="North"/>
    <x v="0"/>
    <n v="9"/>
    <n v="50"/>
    <d v="2024-02-02T00:00:00"/>
    <n v="450"/>
  </r>
  <r>
    <n v="1022"/>
    <s v="Payal Mehta"/>
    <s v="South"/>
    <x v="3"/>
    <n v="35"/>
    <n v="5"/>
    <d v="2024-02-03T00:00:00"/>
    <n v="175"/>
  </r>
  <r>
    <n v="1023"/>
    <s v="Aditya Singh"/>
    <s v="East"/>
    <x v="4"/>
    <n v="30"/>
    <n v="8"/>
    <d v="2024-02-04T00:00:00"/>
    <n v="240"/>
  </r>
  <r>
    <n v="1024"/>
    <s v="Shreya Nair"/>
    <s v="West"/>
    <x v="0"/>
    <n v="11"/>
    <n v="50"/>
    <d v="2024-02-06T00:00:00"/>
    <n v="550"/>
  </r>
  <r>
    <n v="1025"/>
    <s v="Sanjay Kumar"/>
    <s v="North"/>
    <x v="1"/>
    <n v="14"/>
    <n v="10"/>
    <d v="2024-02-07T00:00:00"/>
    <n v="140"/>
  </r>
  <r>
    <n v="1026"/>
    <s v="Aarti Sharma"/>
    <s v="South"/>
    <x v="2"/>
    <n v="16"/>
    <n v="25"/>
    <d v="2024-02-08T00:00:00"/>
    <n v="400"/>
  </r>
  <r>
    <n v="1027"/>
    <s v="Rajesh Patel"/>
    <s v="East"/>
    <x v="3"/>
    <n v="22"/>
    <n v="5"/>
    <d v="2024-02-09T00:00:00"/>
    <n v="110"/>
  </r>
  <r>
    <n v="1028"/>
    <s v="Preeti Joshi"/>
    <s v="West"/>
    <x v="4"/>
    <n v="27"/>
    <n v="8"/>
    <d v="2024-02-10T00:00:00"/>
    <n v="216"/>
  </r>
  <r>
    <n v="1029"/>
    <s v="Anurag Mishra"/>
    <s v="North"/>
    <x v="0"/>
    <n v="13"/>
    <n v="50"/>
    <d v="2024-02-12T00:00:00"/>
    <n v="650"/>
  </r>
  <r>
    <n v="1030"/>
    <s v="Sanya Kapoor"/>
    <s v="South"/>
    <x v="1"/>
    <n v="32"/>
    <n v="10"/>
    <d v="2024-02-13T00:00:00"/>
    <n v="320"/>
  </r>
  <r>
    <n v="1031"/>
    <s v="Harsh Yadav"/>
    <s v="East"/>
    <x v="2"/>
    <n v="10"/>
    <n v="25"/>
    <d v="2024-02-14T00:00:00"/>
    <n v="250"/>
  </r>
  <r>
    <n v="1032"/>
    <s v="Kajal Rani"/>
    <s v="West"/>
    <x v="3"/>
    <n v="18"/>
    <n v="5"/>
    <d v="2024-02-16T00:00:00"/>
    <n v="90"/>
  </r>
  <r>
    <n v="1033"/>
    <s v="Varun Sharma"/>
    <s v="North"/>
    <x v="4"/>
    <n v="22"/>
    <n v="8"/>
    <d v="2024-02-17T00:00:00"/>
    <n v="176"/>
  </r>
  <r>
    <n v="1034"/>
    <s v="Swati Arora"/>
    <s v="South"/>
    <x v="0"/>
    <n v="17"/>
    <n v="50"/>
    <d v="2024-02-18T00:00:00"/>
    <n v="850"/>
  </r>
  <r>
    <n v="1035"/>
    <s v="Akhil Jain"/>
    <s v="East"/>
    <x v="1"/>
    <n v="19"/>
    <n v="10"/>
    <d v="2024-02-19T00:00:00"/>
    <n v="190"/>
  </r>
  <r>
    <n v="1036"/>
    <s v="Priyanka Das"/>
    <s v="West"/>
    <x v="2"/>
    <n v="15"/>
    <n v="25"/>
    <d v="2024-02-21T00:00:00"/>
    <n v="375"/>
  </r>
  <r>
    <n v="1037"/>
    <s v="Ravi Nair"/>
    <s v="North"/>
    <x v="3"/>
    <n v="28"/>
    <n v="5"/>
    <d v="2024-02-22T00:00:00"/>
    <n v="140"/>
  </r>
  <r>
    <n v="1038"/>
    <s v="Komal Singh"/>
    <s v="South"/>
    <x v="4"/>
    <n v="24"/>
    <n v="8"/>
    <d v="2024-02-23T00:00:00"/>
    <n v="192"/>
  </r>
  <r>
    <n v="1039"/>
    <s v="Ayesha Khan"/>
    <s v="East"/>
    <x v="0"/>
    <n v="16"/>
    <n v="50"/>
    <d v="2024-02-25T00:00:00"/>
    <n v="800"/>
  </r>
  <r>
    <n v="1040"/>
    <s v="Arjun Mehta"/>
    <s v="West"/>
    <x v="1"/>
    <n v="27"/>
    <n v="10"/>
    <d v="2024-02-26T00:00:00"/>
    <n v="270"/>
  </r>
  <r>
    <n v="1041"/>
    <s v="Sonali Gupta"/>
    <s v="North"/>
    <x v="2"/>
    <n v="21"/>
    <n v="25"/>
    <d v="2024-02-27T00:00:00"/>
    <n v="525"/>
  </r>
  <r>
    <n v="1042"/>
    <s v="Neeraj Kapoor"/>
    <s v="South"/>
    <x v="3"/>
    <n v="30"/>
    <n v="5"/>
    <d v="2024-02-28T00:00:00"/>
    <n v="150"/>
  </r>
  <r>
    <n v="1043"/>
    <s v="Shruti Sharma"/>
    <s v="East"/>
    <x v="4"/>
    <n v="26"/>
    <n v="8"/>
    <d v="2024-03-01T00:00:00"/>
    <n v="208"/>
  </r>
  <r>
    <n v="1044"/>
    <s v="Yash Arora"/>
    <s v="West"/>
    <x v="0"/>
    <n v="14"/>
    <n v="50"/>
    <d v="2024-03-02T00:00:00"/>
    <n v="700"/>
  </r>
  <r>
    <n v="1045"/>
    <s v="Manish Das"/>
    <s v="North"/>
    <x v="1"/>
    <n v="20"/>
    <n v="10"/>
    <d v="2024-03-03T00:00:00"/>
    <n v="200"/>
  </r>
  <r>
    <n v="1046"/>
    <s v="Rupal Nair"/>
    <s v="South"/>
    <x v="2"/>
    <n v="17"/>
    <n v="25"/>
    <d v="2024-03-04T00:00:00"/>
    <n v="425"/>
  </r>
  <r>
    <n v="1047"/>
    <s v="Sonia Verma"/>
    <s v="East"/>
    <x v="3"/>
    <n v="19"/>
    <n v="5"/>
    <d v="2024-03-05T00:00:00"/>
    <n v="95"/>
  </r>
  <r>
    <n v="1048"/>
    <s v="Kunal Singh"/>
    <s v="West"/>
    <x v="4"/>
    <n v="32"/>
    <n v="8"/>
    <d v="2024-03-06T00:00:00"/>
    <n v="256"/>
  </r>
  <r>
    <n v="1049"/>
    <s v="Ritika Jain"/>
    <s v="North"/>
    <x v="0"/>
    <n v="12"/>
    <n v="50"/>
    <d v="2024-03-07T00:00:00"/>
    <n v="600"/>
  </r>
  <r>
    <n v="1050"/>
    <s v="Vivek Malhotra"/>
    <s v="South"/>
    <x v="1"/>
    <n v="25"/>
    <n v="10"/>
    <d v="2024-03-08T00:00:00"/>
    <n v="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A9E83E-25C6-43E1-8491-BE4822D18D3F}" name="PivotTable6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8"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3"/>
  </rowFields>
  <rowItems count="5">
    <i>
      <x/>
    </i>
    <i>
      <x v="1"/>
    </i>
    <i>
      <x v="2"/>
    </i>
    <i>
      <x v="3"/>
    </i>
    <i>
      <x v="4"/>
    </i>
  </rowItems>
  <colItems count="1">
    <i/>
  </colItems>
  <dataFields count="1">
    <dataField name="Sum of TOTAL SALES" fld="7" baseField="0" baseItem="0"/>
  </dataFields>
  <formats count="5">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outline="0" fieldPosition="0">
        <references count="1">
          <reference field="3" count="0"/>
        </references>
      </pivotArea>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BB63-59A4-4E78-AB39-EACDDB826C14}">
  <dimension ref="A1:Q32"/>
  <sheetViews>
    <sheetView workbookViewId="0">
      <selection activeCell="R8" sqref="R8"/>
    </sheetView>
  </sheetViews>
  <sheetFormatPr defaultRowHeight="14.5" x14ac:dyDescent="0.35"/>
  <sheetData>
    <row r="1" spans="1:17" x14ac:dyDescent="0.35">
      <c r="A1" s="8" t="s">
        <v>0</v>
      </c>
      <c r="B1" s="1"/>
      <c r="C1" s="1"/>
      <c r="D1" s="1"/>
      <c r="E1" s="1"/>
      <c r="F1" s="1"/>
      <c r="G1" s="1"/>
      <c r="H1" s="1"/>
    </row>
    <row r="2" spans="1:17" x14ac:dyDescent="0.35">
      <c r="A2" s="2" t="s">
        <v>24</v>
      </c>
      <c r="B2" s="2"/>
      <c r="C2" s="2"/>
      <c r="D2" s="2"/>
      <c r="E2" s="2"/>
      <c r="F2" s="2"/>
      <c r="G2" s="2"/>
      <c r="H2" s="2"/>
      <c r="I2" s="2"/>
      <c r="J2" s="2"/>
      <c r="K2" s="2"/>
      <c r="L2" s="2"/>
      <c r="M2" s="2"/>
      <c r="N2" s="2"/>
      <c r="O2" s="2"/>
      <c r="P2" s="2"/>
      <c r="Q2" s="2"/>
    </row>
    <row r="3" spans="1:17" x14ac:dyDescent="0.35">
      <c r="A3" s="2" t="s">
        <v>14</v>
      </c>
      <c r="B3" s="2"/>
      <c r="C3" s="2"/>
      <c r="D3" s="2"/>
      <c r="E3" s="2"/>
      <c r="F3" s="2"/>
      <c r="G3" s="2"/>
      <c r="H3" s="2"/>
      <c r="I3" s="2"/>
      <c r="J3" s="2"/>
      <c r="K3" s="2"/>
      <c r="L3" s="2"/>
      <c r="M3" s="2"/>
      <c r="N3" s="2"/>
      <c r="O3" s="2"/>
      <c r="P3" s="2"/>
      <c r="Q3" s="2"/>
    </row>
    <row r="4" spans="1:17" x14ac:dyDescent="0.35">
      <c r="A4" s="2" t="s">
        <v>26</v>
      </c>
      <c r="B4" s="2"/>
      <c r="C4" s="2"/>
      <c r="D4" s="2"/>
      <c r="E4" s="2"/>
      <c r="F4" s="2"/>
      <c r="G4" s="2"/>
      <c r="H4" s="2"/>
      <c r="I4" s="2"/>
      <c r="J4" s="2"/>
      <c r="K4" s="2"/>
      <c r="L4" s="2"/>
      <c r="M4" s="2"/>
      <c r="N4" s="2"/>
      <c r="O4" s="2"/>
      <c r="P4" s="2"/>
      <c r="Q4" s="2"/>
    </row>
    <row r="5" spans="1:17" ht="21" customHeight="1" x14ac:dyDescent="0.35">
      <c r="A5" s="6" t="s">
        <v>1</v>
      </c>
      <c r="B5" s="6" t="s">
        <v>4</v>
      </c>
      <c r="C5" s="6" t="s">
        <v>5</v>
      </c>
      <c r="D5" s="2"/>
      <c r="E5" s="2"/>
      <c r="F5" s="2"/>
      <c r="G5" s="2"/>
      <c r="H5" s="2"/>
      <c r="I5" s="2"/>
      <c r="J5" s="2"/>
      <c r="K5" s="2"/>
      <c r="L5" s="2"/>
      <c r="M5" s="2"/>
      <c r="N5" s="2"/>
      <c r="O5" s="2"/>
      <c r="P5" s="2"/>
      <c r="Q5" s="2"/>
    </row>
    <row r="6" spans="1:17" x14ac:dyDescent="0.35">
      <c r="A6" s="6" t="s">
        <v>2</v>
      </c>
      <c r="B6" s="6"/>
      <c r="C6" s="6"/>
      <c r="D6" s="2"/>
      <c r="E6" s="2"/>
      <c r="F6" s="2"/>
      <c r="G6" s="2"/>
      <c r="H6" s="2"/>
      <c r="I6" s="2"/>
      <c r="J6" s="2"/>
      <c r="K6" s="2"/>
      <c r="L6" s="2"/>
      <c r="M6" s="2"/>
      <c r="N6" s="2"/>
      <c r="O6" s="2"/>
      <c r="P6" s="2"/>
      <c r="Q6" s="2"/>
    </row>
    <row r="7" spans="1:17" x14ac:dyDescent="0.35">
      <c r="A7" s="6" t="s">
        <v>3</v>
      </c>
      <c r="B7" s="6"/>
      <c r="C7" s="6"/>
      <c r="D7" s="2"/>
      <c r="E7" s="2"/>
      <c r="F7" s="2"/>
      <c r="G7" s="2"/>
      <c r="H7" s="2"/>
      <c r="I7" s="2"/>
      <c r="J7" s="2"/>
      <c r="K7" s="2"/>
      <c r="L7" s="2"/>
      <c r="M7" s="2"/>
      <c r="N7" s="2"/>
      <c r="O7" s="2"/>
      <c r="P7" s="2"/>
      <c r="Q7" s="2"/>
    </row>
    <row r="8" spans="1:17" x14ac:dyDescent="0.35">
      <c r="A8" s="7" t="s">
        <v>18</v>
      </c>
      <c r="B8" s="2"/>
      <c r="C8" s="2"/>
      <c r="D8" s="2"/>
      <c r="E8" s="2"/>
      <c r="F8" s="2"/>
      <c r="G8" s="2"/>
      <c r="H8" s="2"/>
      <c r="I8" s="2"/>
      <c r="J8" s="2"/>
      <c r="K8" s="2"/>
      <c r="L8" s="2"/>
      <c r="M8" s="2"/>
      <c r="N8" s="2"/>
      <c r="O8" s="2"/>
      <c r="P8" s="2"/>
      <c r="Q8" s="2"/>
    </row>
    <row r="9" spans="1:17" x14ac:dyDescent="0.35">
      <c r="A9" s="2" t="s">
        <v>15</v>
      </c>
      <c r="B9" s="2"/>
      <c r="C9" s="2"/>
      <c r="D9" s="2"/>
      <c r="E9" s="2"/>
      <c r="F9" s="2"/>
      <c r="G9" s="2"/>
      <c r="H9" s="2"/>
      <c r="I9" s="2"/>
      <c r="J9" s="2"/>
      <c r="K9" s="2"/>
      <c r="L9" s="2"/>
      <c r="M9" s="2"/>
      <c r="N9" s="2"/>
      <c r="O9" s="2"/>
      <c r="P9" s="2"/>
      <c r="Q9" s="2"/>
    </row>
    <row r="10" spans="1:17" x14ac:dyDescent="0.35">
      <c r="A10" s="2" t="s">
        <v>16</v>
      </c>
      <c r="B10" s="2"/>
      <c r="C10" s="2"/>
      <c r="D10" s="2"/>
      <c r="E10" s="2"/>
      <c r="F10" s="2"/>
      <c r="G10" s="2"/>
      <c r="H10" s="2"/>
      <c r="I10" s="2"/>
      <c r="J10" s="2"/>
      <c r="K10" s="2"/>
      <c r="L10" s="2"/>
      <c r="M10" s="2"/>
      <c r="N10" s="2"/>
      <c r="O10" s="2"/>
      <c r="P10" s="2"/>
      <c r="Q10" s="2"/>
    </row>
    <row r="11" spans="1:17" x14ac:dyDescent="0.35">
      <c r="A11" s="2" t="s">
        <v>25</v>
      </c>
      <c r="B11" s="2"/>
      <c r="C11" s="2"/>
      <c r="D11" s="2"/>
      <c r="E11" s="2"/>
      <c r="F11" s="2"/>
      <c r="G11" s="2"/>
      <c r="H11" s="2"/>
      <c r="I11" s="2"/>
      <c r="J11" s="2"/>
      <c r="K11" s="2"/>
      <c r="L11" s="2"/>
      <c r="M11" s="2"/>
      <c r="N11" s="2"/>
      <c r="O11" s="2"/>
      <c r="P11" s="2"/>
      <c r="Q11" s="2"/>
    </row>
    <row r="12" spans="1:17" x14ac:dyDescent="0.35">
      <c r="A12" s="6" t="s">
        <v>17</v>
      </c>
      <c r="B12" s="6" t="str">
        <f>$A$12</f>
        <v>"=$A$13"</v>
      </c>
      <c r="C12" s="6" t="str">
        <f>$A$12</f>
        <v>"=$A$13"</v>
      </c>
      <c r="D12" s="2"/>
      <c r="E12" s="2"/>
      <c r="F12" s="2"/>
      <c r="G12" s="2"/>
      <c r="H12" s="2"/>
      <c r="I12" s="2"/>
      <c r="J12" s="2"/>
      <c r="K12" s="2"/>
      <c r="L12" s="2"/>
      <c r="M12" s="2"/>
      <c r="N12" s="2"/>
      <c r="O12" s="2"/>
      <c r="P12" s="2"/>
      <c r="Q12" s="2"/>
    </row>
    <row r="13" spans="1:17" x14ac:dyDescent="0.35">
      <c r="A13" s="6" t="str">
        <f>$A$12</f>
        <v>"=$A$13"</v>
      </c>
      <c r="B13" s="6"/>
      <c r="C13" s="6"/>
      <c r="D13" s="2"/>
      <c r="E13" s="2"/>
      <c r="F13" s="2"/>
      <c r="G13" s="2"/>
      <c r="H13" s="2"/>
      <c r="I13" s="2"/>
      <c r="J13" s="2"/>
      <c r="K13" s="2"/>
      <c r="L13" s="2"/>
      <c r="M13" s="2"/>
      <c r="N13" s="2"/>
      <c r="O13" s="2"/>
      <c r="P13" s="2"/>
      <c r="Q13" s="2"/>
    </row>
    <row r="14" spans="1:17" x14ac:dyDescent="0.35">
      <c r="A14" s="6" t="str">
        <f>$A$12</f>
        <v>"=$A$13"</v>
      </c>
      <c r="B14" s="6"/>
      <c r="C14" s="6"/>
      <c r="D14" s="2"/>
      <c r="E14" s="2"/>
      <c r="F14" s="2"/>
      <c r="G14" s="2"/>
      <c r="H14" s="2"/>
      <c r="I14" s="2"/>
      <c r="J14" s="2"/>
      <c r="K14" s="2"/>
      <c r="L14" s="2"/>
      <c r="M14" s="2"/>
      <c r="N14" s="2"/>
      <c r="O14" s="2"/>
      <c r="P14" s="2"/>
      <c r="Q14" s="2"/>
    </row>
    <row r="15" spans="1:17" x14ac:dyDescent="0.35">
      <c r="A15" s="2" t="s">
        <v>23</v>
      </c>
      <c r="B15" s="2"/>
      <c r="C15" s="2"/>
      <c r="D15" s="2"/>
      <c r="E15" s="2"/>
      <c r="F15" s="2"/>
      <c r="G15" s="2"/>
      <c r="H15" s="2"/>
      <c r="I15" s="2"/>
      <c r="J15" s="2"/>
      <c r="K15" s="2"/>
      <c r="L15" s="2"/>
      <c r="M15" s="2"/>
      <c r="N15" s="2"/>
      <c r="O15" s="2"/>
      <c r="P15" s="2"/>
      <c r="Q15" s="2"/>
    </row>
    <row r="16" spans="1:17" x14ac:dyDescent="0.35">
      <c r="A16" s="2" t="s">
        <v>19</v>
      </c>
      <c r="B16" s="2"/>
      <c r="C16" s="2"/>
      <c r="D16" s="2"/>
      <c r="E16" s="2"/>
      <c r="F16" s="2"/>
      <c r="G16" s="2"/>
      <c r="H16" s="2"/>
      <c r="I16" s="2"/>
      <c r="J16" s="2"/>
      <c r="K16" s="2"/>
      <c r="L16" s="2"/>
      <c r="M16" s="2"/>
      <c r="N16" s="2"/>
      <c r="O16" s="2"/>
      <c r="P16" s="2"/>
      <c r="Q16" s="2"/>
    </row>
    <row r="17" spans="1:17" x14ac:dyDescent="0.35">
      <c r="A17" s="2" t="s">
        <v>33</v>
      </c>
      <c r="B17" s="2"/>
      <c r="C17" s="2"/>
      <c r="D17" s="2"/>
      <c r="E17" s="2"/>
      <c r="F17" s="2"/>
      <c r="G17" s="2"/>
      <c r="H17" s="2"/>
      <c r="I17" s="2"/>
      <c r="J17" s="2"/>
      <c r="K17" s="2"/>
      <c r="L17" s="2"/>
      <c r="M17" s="2"/>
      <c r="N17" s="2"/>
      <c r="O17" s="2"/>
      <c r="P17" s="2"/>
      <c r="Q17" s="2"/>
    </row>
    <row r="18" spans="1:17" x14ac:dyDescent="0.35">
      <c r="A18" s="2" t="s">
        <v>20</v>
      </c>
      <c r="B18" s="2"/>
      <c r="C18" s="2"/>
      <c r="D18" s="2"/>
      <c r="E18" s="2"/>
      <c r="F18" s="2"/>
      <c r="G18" s="2"/>
      <c r="H18" s="2"/>
      <c r="I18" s="2"/>
      <c r="J18" s="2"/>
      <c r="K18" s="2"/>
      <c r="L18" s="2"/>
      <c r="M18" s="2"/>
      <c r="N18" s="2"/>
      <c r="O18" s="2"/>
      <c r="P18" s="2"/>
      <c r="Q18" s="2"/>
    </row>
    <row r="19" spans="1:17" x14ac:dyDescent="0.35">
      <c r="A19" s="2" t="s">
        <v>22</v>
      </c>
      <c r="B19" s="2"/>
      <c r="C19" s="2"/>
      <c r="D19" s="2"/>
      <c r="E19" s="2"/>
      <c r="F19" s="2"/>
      <c r="G19" s="2"/>
      <c r="H19" s="2"/>
      <c r="I19" s="2"/>
      <c r="J19" s="2"/>
      <c r="K19" s="2"/>
      <c r="L19" s="2"/>
      <c r="M19" s="2"/>
      <c r="N19" s="2"/>
      <c r="O19" s="2"/>
      <c r="P19" s="2"/>
      <c r="Q19" s="2"/>
    </row>
    <row r="20" spans="1:17" x14ac:dyDescent="0.35">
      <c r="A20" s="2" t="s">
        <v>21</v>
      </c>
      <c r="B20" s="2"/>
      <c r="C20" s="2"/>
      <c r="D20" s="2"/>
      <c r="E20" s="2"/>
      <c r="F20" s="2"/>
      <c r="G20" s="2"/>
      <c r="H20" s="2"/>
      <c r="I20" s="2"/>
      <c r="J20" s="2"/>
      <c r="K20" s="2"/>
      <c r="L20" s="2"/>
      <c r="M20" s="2"/>
      <c r="N20" s="2"/>
      <c r="O20" s="2"/>
      <c r="P20" s="2"/>
      <c r="Q20" s="2"/>
    </row>
    <row r="21" spans="1:17" x14ac:dyDescent="0.35">
      <c r="A21" s="7" t="s">
        <v>27</v>
      </c>
      <c r="B21" s="2"/>
      <c r="C21" s="2"/>
      <c r="D21" s="2"/>
      <c r="E21" s="2"/>
      <c r="F21" s="2"/>
      <c r="G21" s="2"/>
      <c r="H21" s="2"/>
      <c r="I21" s="2"/>
      <c r="J21" s="2"/>
      <c r="K21" s="2"/>
      <c r="L21" s="2"/>
      <c r="M21" s="2"/>
      <c r="N21" s="2"/>
      <c r="O21" s="2"/>
      <c r="P21" s="2"/>
      <c r="Q21" s="2"/>
    </row>
    <row r="22" spans="1:17" x14ac:dyDescent="0.35">
      <c r="A22" s="7" t="s">
        <v>28</v>
      </c>
      <c r="B22" s="2"/>
      <c r="C22" s="2"/>
      <c r="D22" s="2"/>
      <c r="E22" s="2"/>
      <c r="F22" s="2"/>
      <c r="G22" s="2"/>
      <c r="H22" s="2"/>
      <c r="I22" s="2"/>
      <c r="J22" s="2"/>
      <c r="K22" s="2"/>
      <c r="L22" s="2"/>
      <c r="M22" s="2"/>
      <c r="N22" s="2"/>
      <c r="O22" s="2"/>
      <c r="P22" s="2"/>
      <c r="Q22" s="2"/>
    </row>
    <row r="23" spans="1:17" x14ac:dyDescent="0.35">
      <c r="A23" s="6" t="s">
        <v>29</v>
      </c>
      <c r="B23" s="6" t="str">
        <f>$A23</f>
        <v>"=$A24"</v>
      </c>
      <c r="C23" s="6" t="str">
        <f>$A23</f>
        <v>"=$A24"</v>
      </c>
      <c r="D23" s="2"/>
      <c r="E23" s="2"/>
      <c r="F23" s="2"/>
      <c r="G23" s="2"/>
      <c r="H23" s="2"/>
      <c r="I23" s="2"/>
      <c r="J23" s="2"/>
      <c r="K23" s="2"/>
      <c r="L23" s="2"/>
      <c r="M23" s="2"/>
      <c r="N23" s="2"/>
      <c r="O23" s="2"/>
      <c r="P23" s="2"/>
      <c r="Q23" s="2"/>
    </row>
    <row r="24" spans="1:17" x14ac:dyDescent="0.35">
      <c r="A24" s="6" t="s">
        <v>30</v>
      </c>
      <c r="B24" s="6"/>
      <c r="C24" s="6"/>
      <c r="D24" s="2"/>
      <c r="E24" s="2"/>
      <c r="F24" s="2"/>
      <c r="G24" s="2"/>
      <c r="H24" s="2"/>
      <c r="I24" s="2"/>
      <c r="J24" s="2"/>
      <c r="K24" s="2"/>
      <c r="L24" s="2"/>
      <c r="M24" s="2"/>
      <c r="N24" s="2"/>
      <c r="O24" s="2"/>
      <c r="P24" s="2"/>
      <c r="Q24" s="2"/>
    </row>
    <row r="25" spans="1:17" x14ac:dyDescent="0.35">
      <c r="A25" s="6" t="s">
        <v>31</v>
      </c>
      <c r="B25" s="6"/>
      <c r="C25" s="6"/>
      <c r="D25" s="2"/>
      <c r="E25" s="2"/>
      <c r="F25" s="2"/>
      <c r="G25" s="2"/>
      <c r="H25" s="2"/>
      <c r="I25" s="2"/>
      <c r="J25" s="2"/>
      <c r="K25" s="2"/>
      <c r="L25" s="2"/>
      <c r="M25" s="2"/>
      <c r="N25" s="2"/>
      <c r="O25" s="2"/>
      <c r="P25" s="2"/>
      <c r="Q25" s="2"/>
    </row>
    <row r="26" spans="1:17" x14ac:dyDescent="0.35">
      <c r="A26" s="7" t="s">
        <v>32</v>
      </c>
      <c r="B26" s="2"/>
      <c r="C26" s="2"/>
      <c r="D26" s="2"/>
      <c r="E26" s="2"/>
      <c r="F26" s="2"/>
      <c r="G26" s="2"/>
      <c r="H26" s="2"/>
      <c r="I26" s="2"/>
      <c r="J26" s="2"/>
      <c r="K26" s="2"/>
      <c r="L26" s="2"/>
      <c r="M26" s="2"/>
      <c r="N26" s="2"/>
      <c r="O26" s="2"/>
      <c r="P26" s="2"/>
      <c r="Q26" s="2"/>
    </row>
    <row r="27" spans="1:17" x14ac:dyDescent="0.35">
      <c r="A27" s="6" t="s">
        <v>34</v>
      </c>
      <c r="B27" s="6" t="s">
        <v>35</v>
      </c>
      <c r="C27" s="6" t="s">
        <v>36</v>
      </c>
      <c r="D27" s="2"/>
      <c r="E27" s="2"/>
      <c r="F27" s="2"/>
      <c r="G27" s="2"/>
      <c r="H27" s="2"/>
      <c r="I27" s="2"/>
      <c r="J27" s="2"/>
      <c r="K27" s="2"/>
      <c r="L27" s="2"/>
      <c r="M27" s="2"/>
      <c r="N27" s="2"/>
      <c r="O27" s="2"/>
      <c r="P27" s="2"/>
      <c r="Q27" s="2"/>
    </row>
    <row r="28" spans="1:17" x14ac:dyDescent="0.35">
      <c r="A28" s="6" t="str">
        <f>A$27</f>
        <v>"=A$28"</v>
      </c>
      <c r="B28" s="6"/>
      <c r="C28" s="6"/>
      <c r="D28" s="2"/>
      <c r="E28" s="2"/>
      <c r="F28" s="2"/>
      <c r="G28" s="2"/>
      <c r="H28" s="2"/>
      <c r="I28" s="2"/>
      <c r="J28" s="2"/>
      <c r="K28" s="2"/>
      <c r="L28" s="2"/>
      <c r="M28" s="2"/>
      <c r="N28" s="2"/>
      <c r="O28" s="2"/>
      <c r="P28" s="2"/>
      <c r="Q28" s="2"/>
    </row>
    <row r="29" spans="1:17" x14ac:dyDescent="0.35">
      <c r="A29" s="6" t="str">
        <f>A$27</f>
        <v>"=A$28"</v>
      </c>
      <c r="B29" s="6"/>
      <c r="C29" s="6"/>
      <c r="D29" s="2"/>
      <c r="E29" s="2"/>
      <c r="F29" s="2"/>
      <c r="G29" s="2"/>
      <c r="H29" s="2"/>
      <c r="I29" s="2"/>
      <c r="J29" s="2"/>
      <c r="K29" s="2"/>
      <c r="L29" s="2"/>
      <c r="M29" s="2"/>
      <c r="N29" s="2"/>
      <c r="O29" s="2"/>
      <c r="P29" s="2"/>
      <c r="Q29" s="2"/>
    </row>
    <row r="30" spans="1:17" x14ac:dyDescent="0.35">
      <c r="A30" s="2"/>
      <c r="B30" s="2"/>
      <c r="C30" s="2"/>
      <c r="D30" s="2"/>
      <c r="E30" s="2"/>
      <c r="F30" s="2"/>
      <c r="G30" s="2"/>
      <c r="H30" s="2"/>
      <c r="I30" s="2"/>
      <c r="J30" s="2"/>
      <c r="K30" s="2"/>
      <c r="L30" s="2"/>
      <c r="M30" s="2"/>
      <c r="N30" s="2"/>
      <c r="O30" s="2"/>
      <c r="P30" s="2"/>
      <c r="Q30" s="2"/>
    </row>
    <row r="31" spans="1:17" x14ac:dyDescent="0.35">
      <c r="A31" s="2"/>
      <c r="B31" s="2"/>
      <c r="C31" s="2"/>
      <c r="D31" s="2"/>
      <c r="E31" s="2"/>
      <c r="F31" s="2"/>
      <c r="G31" s="2"/>
      <c r="H31" s="2"/>
      <c r="I31" s="2"/>
      <c r="J31" s="2"/>
      <c r="K31" s="2"/>
      <c r="L31" s="2"/>
      <c r="M31" s="2"/>
      <c r="N31" s="2"/>
      <c r="O31" s="2"/>
      <c r="P31" s="2"/>
      <c r="Q31" s="2"/>
    </row>
    <row r="32" spans="1:17" x14ac:dyDescent="0.35">
      <c r="A32" s="2"/>
      <c r="B32" s="2"/>
      <c r="C32" s="2"/>
      <c r="D32" s="2"/>
      <c r="E32" s="2"/>
      <c r="F32" s="2"/>
      <c r="G32" s="2"/>
      <c r="H32" s="2"/>
      <c r="I32" s="2"/>
      <c r="J32" s="2"/>
      <c r="K32" s="2"/>
      <c r="L32" s="2"/>
      <c r="M32" s="2"/>
      <c r="N32" s="2"/>
      <c r="O32" s="2"/>
      <c r="P32" s="2"/>
      <c r="Q3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CA7C-3C30-406C-AC39-D02EB7AB2685}">
  <dimension ref="A1:H9"/>
  <sheetViews>
    <sheetView workbookViewId="0">
      <selection activeCell="C13" sqref="C13"/>
    </sheetView>
  </sheetViews>
  <sheetFormatPr defaultRowHeight="14.5" x14ac:dyDescent="0.35"/>
  <cols>
    <col min="1" max="1" width="14" customWidth="1"/>
  </cols>
  <sheetData>
    <row r="1" spans="1:8" x14ac:dyDescent="0.35">
      <c r="A1" s="9" t="s">
        <v>6</v>
      </c>
      <c r="B1" s="9"/>
      <c r="C1" s="9"/>
      <c r="D1" s="9"/>
      <c r="E1" s="9"/>
      <c r="F1" s="9"/>
      <c r="G1" s="9"/>
    </row>
    <row r="2" spans="1:8" x14ac:dyDescent="0.35">
      <c r="A2" s="5" t="s">
        <v>12</v>
      </c>
      <c r="B2" s="5" t="s">
        <v>13</v>
      </c>
      <c r="C2" s="9"/>
      <c r="D2" s="9"/>
      <c r="E2" s="9"/>
      <c r="F2" s="9"/>
      <c r="G2" s="9"/>
    </row>
    <row r="3" spans="1:8" x14ac:dyDescent="0.35">
      <c r="A3" s="5" t="s">
        <v>7</v>
      </c>
      <c r="B3" s="5">
        <v>500000</v>
      </c>
      <c r="C3" s="9"/>
      <c r="D3" s="9"/>
      <c r="E3" s="9"/>
      <c r="F3" s="9"/>
      <c r="G3" s="9"/>
    </row>
    <row r="4" spans="1:8" x14ac:dyDescent="0.35">
      <c r="A4" s="5" t="s">
        <v>8</v>
      </c>
      <c r="B4" s="5">
        <v>10500</v>
      </c>
      <c r="C4" s="9"/>
      <c r="D4" s="9"/>
      <c r="E4" s="9"/>
      <c r="F4" s="9"/>
      <c r="G4" s="9"/>
    </row>
    <row r="5" spans="1:8" x14ac:dyDescent="0.35">
      <c r="A5" s="5" t="s">
        <v>9</v>
      </c>
      <c r="B5" s="5">
        <v>25000</v>
      </c>
      <c r="C5" s="9"/>
      <c r="D5" s="9"/>
      <c r="E5" s="9"/>
      <c r="F5" s="9"/>
      <c r="G5" s="9"/>
    </row>
    <row r="6" spans="1:8" x14ac:dyDescent="0.35">
      <c r="A6" s="9" t="s">
        <v>10</v>
      </c>
      <c r="B6" s="9"/>
      <c r="C6" s="9"/>
      <c r="D6" s="9"/>
      <c r="E6" s="9"/>
      <c r="F6" s="9"/>
      <c r="G6" s="9"/>
    </row>
    <row r="7" spans="1:8" x14ac:dyDescent="0.35">
      <c r="A7" s="2" t="s">
        <v>11</v>
      </c>
      <c r="B7" s="2"/>
      <c r="C7" s="2"/>
      <c r="D7" s="2"/>
      <c r="E7" s="2"/>
      <c r="F7" s="2"/>
      <c r="G7" s="2"/>
      <c r="H7" s="2"/>
    </row>
    <row r="8" spans="1:8" x14ac:dyDescent="0.35">
      <c r="A8" s="2">
        <f>SUMIF(A3:A5,"=Car",B3:B5)+SUMIF(A3:A5,"Bicycle",B3:B5)</f>
        <v>510500</v>
      </c>
      <c r="B8" s="2"/>
      <c r="C8" s="2"/>
      <c r="D8" s="2"/>
      <c r="E8" s="2"/>
      <c r="F8" s="2"/>
      <c r="G8" s="2"/>
      <c r="H8" s="2"/>
    </row>
    <row r="9" spans="1:8" x14ac:dyDescent="0.35">
      <c r="A9" s="2" t="s">
        <v>37</v>
      </c>
      <c r="B9" s="2"/>
      <c r="C9" s="2"/>
      <c r="D9" s="2"/>
      <c r="E9" s="2"/>
      <c r="F9" s="2"/>
      <c r="G9" s="2"/>
      <c r="H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6AAE-6346-4F4A-BD55-A3EE3159EF7B}">
  <dimension ref="A1:K10"/>
  <sheetViews>
    <sheetView workbookViewId="0">
      <selection activeCell="H13" sqref="H13"/>
    </sheetView>
  </sheetViews>
  <sheetFormatPr defaultRowHeight="14.5" x14ac:dyDescent="0.35"/>
  <sheetData>
    <row r="1" spans="1:11" x14ac:dyDescent="0.35">
      <c r="A1" s="3" t="s">
        <v>38</v>
      </c>
      <c r="B1" s="3"/>
      <c r="C1" s="3"/>
      <c r="D1" s="3"/>
      <c r="E1" s="3"/>
      <c r="F1" s="3"/>
      <c r="G1" s="3"/>
      <c r="H1" s="3"/>
      <c r="I1" s="3"/>
      <c r="J1" s="3"/>
      <c r="K1" s="3"/>
    </row>
    <row r="2" spans="1:11" x14ac:dyDescent="0.35">
      <c r="A2" s="4" t="s">
        <v>40</v>
      </c>
      <c r="B2" s="4" t="s">
        <v>41</v>
      </c>
      <c r="C2" s="4" t="s">
        <v>42</v>
      </c>
      <c r="D2" s="3"/>
      <c r="E2" s="3"/>
      <c r="F2" s="3"/>
      <c r="G2" s="3"/>
      <c r="H2" s="3"/>
      <c r="I2" s="3"/>
      <c r="J2" s="3"/>
      <c r="K2" s="3"/>
    </row>
    <row r="3" spans="1:11" x14ac:dyDescent="0.35">
      <c r="A3" s="4" t="s">
        <v>43</v>
      </c>
      <c r="B3" s="4">
        <v>90</v>
      </c>
      <c r="C3" s="4">
        <v>1000</v>
      </c>
      <c r="D3" s="3"/>
      <c r="E3" s="3"/>
      <c r="F3" s="3"/>
      <c r="G3" s="3"/>
      <c r="H3" s="3"/>
      <c r="I3" s="3"/>
      <c r="J3" s="3"/>
      <c r="K3" s="3"/>
    </row>
    <row r="4" spans="1:11" x14ac:dyDescent="0.35">
      <c r="A4" s="4" t="s">
        <v>44</v>
      </c>
      <c r="B4" s="4">
        <v>150</v>
      </c>
      <c r="C4" s="4">
        <v>1200</v>
      </c>
      <c r="D4" s="3"/>
      <c r="E4" s="3"/>
      <c r="F4" s="3"/>
      <c r="G4" s="3"/>
      <c r="H4" s="3"/>
      <c r="I4" s="3"/>
      <c r="J4" s="3"/>
      <c r="K4" s="3"/>
    </row>
    <row r="5" spans="1:11" x14ac:dyDescent="0.35">
      <c r="A5" s="4" t="s">
        <v>45</v>
      </c>
      <c r="B5" s="4">
        <v>250</v>
      </c>
      <c r="C5" s="4">
        <v>1500</v>
      </c>
      <c r="D5" s="3"/>
      <c r="E5" s="3"/>
      <c r="F5" s="3"/>
      <c r="G5" s="3"/>
      <c r="H5" s="3"/>
      <c r="I5" s="3"/>
      <c r="J5" s="3"/>
      <c r="K5" s="3"/>
    </row>
    <row r="6" spans="1:11" x14ac:dyDescent="0.35">
      <c r="A6" s="3" t="s">
        <v>39</v>
      </c>
      <c r="B6" s="3"/>
      <c r="C6" s="3"/>
      <c r="D6" s="3"/>
      <c r="E6" s="3"/>
      <c r="F6" s="3"/>
      <c r="G6" s="3"/>
      <c r="H6" s="3"/>
      <c r="I6" s="3"/>
      <c r="J6" s="3"/>
      <c r="K6" s="3"/>
    </row>
    <row r="7" spans="1:11" x14ac:dyDescent="0.35">
      <c r="A7" s="2" t="s">
        <v>46</v>
      </c>
      <c r="B7" s="2"/>
      <c r="C7" s="2"/>
      <c r="D7" s="2"/>
      <c r="E7" s="2"/>
      <c r="F7" s="2"/>
      <c r="G7" s="2"/>
      <c r="H7" s="2"/>
      <c r="I7" s="2"/>
      <c r="J7" s="2"/>
      <c r="K7" s="2"/>
    </row>
    <row r="8" spans="1:11" x14ac:dyDescent="0.35">
      <c r="A8" s="2">
        <f>AVERAGEIFS(C3:C5,B3:B5,"&gt;100",B3:B5,"&lt;300")</f>
        <v>1350</v>
      </c>
      <c r="B8" s="2"/>
      <c r="C8" s="2"/>
      <c r="D8" s="2"/>
      <c r="E8" s="2"/>
      <c r="F8" s="2"/>
      <c r="G8" s="2"/>
      <c r="H8" s="2"/>
      <c r="I8" s="2"/>
      <c r="J8" s="2"/>
      <c r="K8" s="2"/>
    </row>
    <row r="9" spans="1:11" x14ac:dyDescent="0.35">
      <c r="A9" s="2" t="s">
        <v>47</v>
      </c>
      <c r="B9" s="2"/>
      <c r="C9" s="2"/>
      <c r="D9" s="2"/>
      <c r="E9" s="2"/>
      <c r="F9" s="2"/>
      <c r="G9" s="2"/>
      <c r="H9" s="2"/>
      <c r="I9" s="2"/>
      <c r="J9" s="2"/>
      <c r="K9" s="2"/>
    </row>
    <row r="10" spans="1:11" x14ac:dyDescent="0.35">
      <c r="A10" s="2" t="s">
        <v>48</v>
      </c>
      <c r="B10" s="2"/>
      <c r="C10" s="2"/>
      <c r="D10" s="2"/>
      <c r="E10" s="2"/>
      <c r="F10" s="2"/>
      <c r="G10" s="2"/>
      <c r="H10" s="2"/>
      <c r="I10" s="2"/>
      <c r="J10" s="2"/>
      <c r="K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24AE-7076-4C08-860E-E2EA7B91F5F5}">
  <dimension ref="A1:E9"/>
  <sheetViews>
    <sheetView workbookViewId="0">
      <selection activeCell="B13" sqref="B13"/>
    </sheetView>
  </sheetViews>
  <sheetFormatPr defaultRowHeight="14.5" x14ac:dyDescent="0.35"/>
  <cols>
    <col min="1" max="1" width="9.7265625" bestFit="1" customWidth="1"/>
    <col min="2" max="2" width="17.90625" bestFit="1" customWidth="1"/>
  </cols>
  <sheetData>
    <row r="1" spans="1:5" x14ac:dyDescent="0.35">
      <c r="A1" s="9" t="s">
        <v>124</v>
      </c>
      <c r="B1" s="3"/>
      <c r="C1" s="3"/>
      <c r="D1" s="3"/>
      <c r="E1" s="3"/>
    </row>
    <row r="2" spans="1:5" x14ac:dyDescent="0.35">
      <c r="A2" s="2" t="s">
        <v>116</v>
      </c>
      <c r="B2" s="2"/>
    </row>
    <row r="3" spans="1:5" x14ac:dyDescent="0.35">
      <c r="A3" s="2" t="s">
        <v>52</v>
      </c>
      <c r="B3" s="2" t="s">
        <v>125</v>
      </c>
    </row>
    <row r="4" spans="1:5" x14ac:dyDescent="0.35">
      <c r="A4" s="2" t="s">
        <v>71</v>
      </c>
      <c r="B4" s="2">
        <v>1928</v>
      </c>
    </row>
    <row r="5" spans="1:5" x14ac:dyDescent="0.35">
      <c r="A5" s="2" t="s">
        <v>64</v>
      </c>
      <c r="B5" s="2">
        <v>3650</v>
      </c>
    </row>
    <row r="6" spans="1:5" x14ac:dyDescent="0.35">
      <c r="A6" s="2" t="s">
        <v>58</v>
      </c>
      <c r="B6" s="2">
        <v>7550</v>
      </c>
    </row>
    <row r="7" spans="1:5" x14ac:dyDescent="0.35">
      <c r="A7" s="2" t="s">
        <v>61</v>
      </c>
      <c r="B7" s="2">
        <v>2180</v>
      </c>
    </row>
    <row r="8" spans="1:5" x14ac:dyDescent="0.35">
      <c r="A8" s="2" t="s">
        <v>68</v>
      </c>
      <c r="B8" s="2">
        <v>1235</v>
      </c>
    </row>
    <row r="9" spans="1:5" x14ac:dyDescent="0.35">
      <c r="A9" s="2"/>
      <c r="B9" s="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9015D-9C2A-4008-981C-21535A527316}">
  <dimension ref="A1:V51"/>
  <sheetViews>
    <sheetView tabSelected="1" topLeftCell="C18" zoomScaleNormal="100" workbookViewId="0">
      <selection activeCell="S15" sqref="S15"/>
    </sheetView>
  </sheetViews>
  <sheetFormatPr defaultRowHeight="14.5" x14ac:dyDescent="0.35"/>
  <cols>
    <col min="2" max="2" width="13.90625" customWidth="1"/>
    <col min="3" max="3" width="9.81640625" customWidth="1"/>
    <col min="4" max="4" width="13.7265625" customWidth="1"/>
    <col min="7" max="7" width="10.54296875" customWidth="1"/>
    <col min="8" max="8" width="10.90625" customWidth="1"/>
  </cols>
  <sheetData>
    <row r="1" spans="1:22" ht="29.5" thickBot="1" x14ac:dyDescent="0.4">
      <c r="A1" s="10" t="s">
        <v>49</v>
      </c>
      <c r="B1" s="10" t="s">
        <v>50</v>
      </c>
      <c r="C1" s="10" t="s">
        <v>51</v>
      </c>
      <c r="D1" s="10" t="s">
        <v>52</v>
      </c>
      <c r="E1" s="10" t="s">
        <v>53</v>
      </c>
      <c r="F1" s="10" t="s">
        <v>54</v>
      </c>
      <c r="G1" s="10" t="s">
        <v>55</v>
      </c>
      <c r="H1" s="14" t="s">
        <v>120</v>
      </c>
      <c r="K1" s="9" t="s">
        <v>115</v>
      </c>
      <c r="L1" s="3"/>
      <c r="M1" s="3"/>
      <c r="N1" s="3"/>
      <c r="O1" s="3"/>
      <c r="P1" s="3"/>
      <c r="Q1" s="3"/>
    </row>
    <row r="2" spans="1:22" ht="15" thickBot="1" x14ac:dyDescent="0.4">
      <c r="A2" s="11">
        <v>1001</v>
      </c>
      <c r="B2" s="12" t="s">
        <v>56</v>
      </c>
      <c r="C2" s="12" t="s">
        <v>57</v>
      </c>
      <c r="D2" s="12" t="s">
        <v>58</v>
      </c>
      <c r="E2" s="11">
        <v>10</v>
      </c>
      <c r="F2" s="11">
        <v>50</v>
      </c>
      <c r="G2" s="13">
        <v>45296</v>
      </c>
      <c r="H2">
        <f>E2*F2</f>
        <v>500</v>
      </c>
      <c r="K2" s="2" t="s">
        <v>116</v>
      </c>
      <c r="L2" s="2"/>
      <c r="M2" s="2"/>
      <c r="N2" s="2"/>
      <c r="O2" s="2"/>
      <c r="P2" s="2"/>
      <c r="Q2" s="2"/>
      <c r="R2" s="2"/>
      <c r="S2" s="2"/>
      <c r="T2" s="2"/>
      <c r="U2" s="2"/>
      <c r="V2" s="2"/>
    </row>
    <row r="3" spans="1:22" ht="15" thickBot="1" x14ac:dyDescent="0.4">
      <c r="A3" s="11">
        <v>1002</v>
      </c>
      <c r="B3" s="12" t="s">
        <v>59</v>
      </c>
      <c r="C3" s="12" t="s">
        <v>60</v>
      </c>
      <c r="D3" s="12" t="s">
        <v>61</v>
      </c>
      <c r="E3" s="11">
        <v>20</v>
      </c>
      <c r="F3" s="11">
        <v>10</v>
      </c>
      <c r="G3" s="13">
        <v>45297</v>
      </c>
      <c r="H3">
        <f t="shared" ref="H3:H4" si="0">E3*F3</f>
        <v>200</v>
      </c>
      <c r="K3" s="2">
        <f>COUNTA(B2:B51)</f>
        <v>50</v>
      </c>
      <c r="L3" s="2"/>
      <c r="M3" s="2"/>
      <c r="N3" s="2"/>
      <c r="O3" s="2"/>
      <c r="P3" s="2"/>
      <c r="Q3" s="2"/>
      <c r="R3" s="2"/>
      <c r="S3" s="2"/>
      <c r="T3" s="2"/>
      <c r="U3" s="2"/>
      <c r="V3" s="2"/>
    </row>
    <row r="4" spans="1:22" ht="15" thickBot="1" x14ac:dyDescent="0.4">
      <c r="A4" s="11">
        <v>1003</v>
      </c>
      <c r="B4" s="12" t="s">
        <v>62</v>
      </c>
      <c r="C4" s="12" t="s">
        <v>63</v>
      </c>
      <c r="D4" s="12" t="s">
        <v>64</v>
      </c>
      <c r="E4" s="11">
        <v>15</v>
      </c>
      <c r="F4" s="11">
        <v>25</v>
      </c>
      <c r="G4" s="13">
        <v>45298</v>
      </c>
      <c r="H4">
        <f t="shared" si="0"/>
        <v>375</v>
      </c>
      <c r="K4" s="2" t="s">
        <v>119</v>
      </c>
      <c r="L4" s="2"/>
      <c r="M4" s="2"/>
      <c r="N4" s="2"/>
      <c r="O4" s="2"/>
      <c r="P4" s="2"/>
      <c r="Q4" s="2"/>
      <c r="R4" s="2"/>
      <c r="S4" s="2"/>
      <c r="T4" s="2"/>
      <c r="U4" s="2"/>
      <c r="V4" s="2"/>
    </row>
    <row r="5" spans="1:22" ht="15" thickBot="1" x14ac:dyDescent="0.4">
      <c r="A5" s="11">
        <v>1004</v>
      </c>
      <c r="B5" s="12" t="s">
        <v>65</v>
      </c>
      <c r="C5" s="12" t="s">
        <v>66</v>
      </c>
      <c r="D5" s="12" t="s">
        <v>58</v>
      </c>
      <c r="E5" s="11">
        <v>5</v>
      </c>
      <c r="F5" s="11">
        <v>50</v>
      </c>
      <c r="G5" s="13">
        <v>45299</v>
      </c>
      <c r="H5">
        <f>E5*F5</f>
        <v>250</v>
      </c>
    </row>
    <row r="6" spans="1:22" ht="15" thickBot="1" x14ac:dyDescent="0.4">
      <c r="A6" s="11">
        <v>1005</v>
      </c>
      <c r="B6" s="12" t="s">
        <v>67</v>
      </c>
      <c r="C6" s="12" t="s">
        <v>57</v>
      </c>
      <c r="D6" s="12" t="s">
        <v>68</v>
      </c>
      <c r="E6" s="11">
        <v>30</v>
      </c>
      <c r="F6" s="11">
        <v>5</v>
      </c>
      <c r="G6" s="13">
        <v>45301</v>
      </c>
      <c r="H6">
        <f t="shared" ref="H6:H51" si="1">E6*F6</f>
        <v>150</v>
      </c>
    </row>
    <row r="7" spans="1:22" ht="15" thickBot="1" x14ac:dyDescent="0.4">
      <c r="A7" s="11">
        <v>1006</v>
      </c>
      <c r="B7" s="12" t="s">
        <v>69</v>
      </c>
      <c r="C7" s="12" t="s">
        <v>60</v>
      </c>
      <c r="D7" s="12" t="s">
        <v>58</v>
      </c>
      <c r="E7" s="11">
        <v>12</v>
      </c>
      <c r="F7" s="11">
        <v>50</v>
      </c>
      <c r="G7" s="13">
        <v>45302</v>
      </c>
      <c r="H7">
        <f t="shared" si="1"/>
        <v>600</v>
      </c>
      <c r="K7" s="9" t="s">
        <v>117</v>
      </c>
      <c r="L7" s="3"/>
      <c r="M7" s="3"/>
      <c r="N7" s="3"/>
      <c r="O7" s="3"/>
      <c r="P7" s="3"/>
      <c r="Q7" s="3"/>
    </row>
    <row r="8" spans="1:22" ht="15" thickBot="1" x14ac:dyDescent="0.4">
      <c r="A8" s="11">
        <v>1007</v>
      </c>
      <c r="B8" s="12" t="s">
        <v>70</v>
      </c>
      <c r="C8" s="12" t="s">
        <v>63</v>
      </c>
      <c r="D8" s="12" t="s">
        <v>71</v>
      </c>
      <c r="E8" s="11">
        <v>25</v>
      </c>
      <c r="F8" s="11">
        <v>8</v>
      </c>
      <c r="G8" s="13">
        <v>45304</v>
      </c>
      <c r="H8">
        <f t="shared" si="1"/>
        <v>200</v>
      </c>
      <c r="K8" s="2" t="s">
        <v>116</v>
      </c>
      <c r="L8" s="2"/>
      <c r="M8" s="2"/>
      <c r="N8" s="2"/>
      <c r="O8" s="2"/>
      <c r="P8" s="2"/>
      <c r="Q8" s="2"/>
      <c r="R8" s="2"/>
      <c r="S8" s="2"/>
    </row>
    <row r="9" spans="1:22" ht="15" thickBot="1" x14ac:dyDescent="0.4">
      <c r="A9" s="11">
        <v>1008</v>
      </c>
      <c r="B9" s="12" t="s">
        <v>72</v>
      </c>
      <c r="C9" s="12" t="s">
        <v>66</v>
      </c>
      <c r="D9" s="12" t="s">
        <v>61</v>
      </c>
      <c r="E9" s="11">
        <v>18</v>
      </c>
      <c r="F9" s="11">
        <v>10</v>
      </c>
      <c r="G9" s="13">
        <v>45306</v>
      </c>
      <c r="H9">
        <f t="shared" si="1"/>
        <v>180</v>
      </c>
      <c r="K9" s="2" t="s">
        <v>121</v>
      </c>
      <c r="L9" s="2"/>
      <c r="M9" s="2"/>
      <c r="N9" s="2"/>
      <c r="O9" s="2"/>
      <c r="P9" s="2"/>
      <c r="Q9" s="2"/>
      <c r="R9" s="2"/>
      <c r="S9" s="2"/>
    </row>
    <row r="10" spans="1:22" ht="15" thickBot="1" x14ac:dyDescent="0.4">
      <c r="A10" s="11">
        <v>1009</v>
      </c>
      <c r="B10" s="12" t="s">
        <v>73</v>
      </c>
      <c r="C10" s="12" t="s">
        <v>57</v>
      </c>
      <c r="D10" s="12" t="s">
        <v>64</v>
      </c>
      <c r="E10" s="11">
        <v>22</v>
      </c>
      <c r="F10" s="11">
        <v>25</v>
      </c>
      <c r="G10" s="13">
        <v>45308</v>
      </c>
      <c r="H10">
        <f t="shared" si="1"/>
        <v>550</v>
      </c>
      <c r="K10" s="2" t="s">
        <v>122</v>
      </c>
      <c r="L10" s="2"/>
      <c r="M10" s="2"/>
      <c r="N10" s="2"/>
      <c r="O10" s="2"/>
      <c r="P10" s="2"/>
      <c r="Q10" s="2"/>
      <c r="R10" s="2"/>
      <c r="S10" s="2"/>
    </row>
    <row r="11" spans="1:22" ht="15" thickBot="1" x14ac:dyDescent="0.4">
      <c r="A11" s="11">
        <v>1010</v>
      </c>
      <c r="B11" s="12" t="s">
        <v>74</v>
      </c>
      <c r="C11" s="12" t="s">
        <v>60</v>
      </c>
      <c r="D11" s="12" t="s">
        <v>58</v>
      </c>
      <c r="E11" s="11">
        <v>8</v>
      </c>
      <c r="F11" s="11">
        <v>50</v>
      </c>
      <c r="G11" s="13">
        <v>45309</v>
      </c>
      <c r="H11">
        <f t="shared" si="1"/>
        <v>400</v>
      </c>
    </row>
    <row r="12" spans="1:22" ht="15" thickBot="1" x14ac:dyDescent="0.4">
      <c r="A12" s="11">
        <v>1011</v>
      </c>
      <c r="B12" s="12" t="s">
        <v>75</v>
      </c>
      <c r="C12" s="12" t="s">
        <v>63</v>
      </c>
      <c r="D12" s="12" t="s">
        <v>68</v>
      </c>
      <c r="E12" s="11">
        <v>40</v>
      </c>
      <c r="F12" s="11">
        <v>5</v>
      </c>
      <c r="G12" s="13">
        <v>45310</v>
      </c>
      <c r="H12">
        <f t="shared" si="1"/>
        <v>200</v>
      </c>
    </row>
    <row r="13" spans="1:22" ht="15" thickBot="1" x14ac:dyDescent="0.4">
      <c r="A13" s="11">
        <v>1012</v>
      </c>
      <c r="B13" s="12" t="s">
        <v>76</v>
      </c>
      <c r="C13" s="12" t="s">
        <v>66</v>
      </c>
      <c r="D13" s="12" t="s">
        <v>71</v>
      </c>
      <c r="E13" s="11">
        <v>35</v>
      </c>
      <c r="F13" s="11">
        <v>8</v>
      </c>
      <c r="G13" s="13">
        <v>45311</v>
      </c>
      <c r="H13">
        <f t="shared" si="1"/>
        <v>280</v>
      </c>
      <c r="K13" s="9" t="s">
        <v>118</v>
      </c>
      <c r="L13" s="3"/>
      <c r="M13" s="3"/>
      <c r="N13" s="3"/>
      <c r="O13" s="3"/>
      <c r="P13" s="3"/>
      <c r="Q13" s="3"/>
    </row>
    <row r="14" spans="1:22" ht="15" thickBot="1" x14ac:dyDescent="0.4">
      <c r="A14" s="11">
        <v>1013</v>
      </c>
      <c r="B14" s="12" t="s">
        <v>77</v>
      </c>
      <c r="C14" s="12" t="s">
        <v>57</v>
      </c>
      <c r="D14" s="12" t="s">
        <v>58</v>
      </c>
      <c r="E14" s="11">
        <v>14</v>
      </c>
      <c r="F14" s="11">
        <v>50</v>
      </c>
      <c r="G14" s="13">
        <v>45313</v>
      </c>
      <c r="H14">
        <f t="shared" si="1"/>
        <v>700</v>
      </c>
      <c r="K14" s="2" t="s">
        <v>116</v>
      </c>
      <c r="L14" s="2"/>
      <c r="M14" s="2"/>
      <c r="N14" s="2"/>
      <c r="O14" s="2"/>
      <c r="P14" s="2"/>
      <c r="Q14" s="2"/>
    </row>
    <row r="15" spans="1:22" ht="15" thickBot="1" x14ac:dyDescent="0.4">
      <c r="A15" s="11">
        <v>1014</v>
      </c>
      <c r="B15" s="12" t="s">
        <v>78</v>
      </c>
      <c r="C15" s="12" t="s">
        <v>60</v>
      </c>
      <c r="D15" s="12" t="s">
        <v>61</v>
      </c>
      <c r="E15" s="11">
        <v>28</v>
      </c>
      <c r="F15" s="11">
        <v>10</v>
      </c>
      <c r="G15" s="13">
        <v>45314</v>
      </c>
      <c r="H15">
        <f t="shared" si="1"/>
        <v>280</v>
      </c>
      <c r="K15" s="2">
        <f>SUMIFS(H2:H51,D2:D51,"Notebook",C2:C51,"North")</f>
        <v>2900</v>
      </c>
      <c r="L15" s="2"/>
      <c r="M15" s="2"/>
      <c r="N15" s="2"/>
      <c r="O15" s="2"/>
      <c r="P15" s="2"/>
      <c r="Q15" s="2"/>
    </row>
    <row r="16" spans="1:22" ht="15" thickBot="1" x14ac:dyDescent="0.4">
      <c r="A16" s="11">
        <v>1015</v>
      </c>
      <c r="B16" s="12" t="s">
        <v>79</v>
      </c>
      <c r="C16" s="12" t="s">
        <v>63</v>
      </c>
      <c r="D16" s="12" t="s">
        <v>64</v>
      </c>
      <c r="E16" s="11">
        <v>12</v>
      </c>
      <c r="F16" s="11">
        <v>25</v>
      </c>
      <c r="G16" s="13">
        <v>45315</v>
      </c>
      <c r="H16">
        <f t="shared" si="1"/>
        <v>300</v>
      </c>
      <c r="K16" s="2" t="s">
        <v>123</v>
      </c>
      <c r="L16" s="2"/>
      <c r="M16" s="2"/>
      <c r="N16" s="2"/>
      <c r="O16" s="2"/>
      <c r="P16" s="2"/>
      <c r="Q16" s="2"/>
    </row>
    <row r="17" spans="1:17" ht="15" thickBot="1" x14ac:dyDescent="0.4">
      <c r="A17" s="11">
        <v>1016</v>
      </c>
      <c r="B17" s="12" t="s">
        <v>80</v>
      </c>
      <c r="C17" s="12" t="s">
        <v>66</v>
      </c>
      <c r="D17" s="12" t="s">
        <v>68</v>
      </c>
      <c r="E17" s="11">
        <v>25</v>
      </c>
      <c r="F17" s="11">
        <v>5</v>
      </c>
      <c r="G17" s="13">
        <v>45317</v>
      </c>
      <c r="H17">
        <f t="shared" si="1"/>
        <v>125</v>
      </c>
    </row>
    <row r="18" spans="1:17" ht="15" thickBot="1" x14ac:dyDescent="0.4">
      <c r="A18" s="11">
        <v>1017</v>
      </c>
      <c r="B18" s="12" t="s">
        <v>81</v>
      </c>
      <c r="C18" s="12" t="s">
        <v>57</v>
      </c>
      <c r="D18" s="12" t="s">
        <v>71</v>
      </c>
      <c r="E18" s="11">
        <v>20</v>
      </c>
      <c r="F18" s="11">
        <v>8</v>
      </c>
      <c r="G18" s="13">
        <v>45319</v>
      </c>
      <c r="H18">
        <f t="shared" si="1"/>
        <v>160</v>
      </c>
      <c r="K18" s="9" t="s">
        <v>126</v>
      </c>
      <c r="L18" s="3"/>
      <c r="M18" s="3"/>
      <c r="N18" s="3"/>
      <c r="O18" s="3"/>
      <c r="P18" s="3"/>
      <c r="Q18" s="3"/>
    </row>
    <row r="19" spans="1:17" ht="15" thickBot="1" x14ac:dyDescent="0.4">
      <c r="A19" s="11">
        <v>1018</v>
      </c>
      <c r="B19" s="12" t="s">
        <v>82</v>
      </c>
      <c r="C19" s="12" t="s">
        <v>60</v>
      </c>
      <c r="D19" s="12" t="s">
        <v>58</v>
      </c>
      <c r="E19" s="11">
        <v>10</v>
      </c>
      <c r="F19" s="11">
        <v>50</v>
      </c>
      <c r="G19" s="13">
        <v>45320</v>
      </c>
      <c r="H19">
        <f t="shared" si="1"/>
        <v>500</v>
      </c>
      <c r="K19" s="2" t="s">
        <v>116</v>
      </c>
    </row>
    <row r="20" spans="1:17" ht="15" thickBot="1" x14ac:dyDescent="0.4">
      <c r="A20" s="11">
        <v>1019</v>
      </c>
      <c r="B20" s="12" t="s">
        <v>83</v>
      </c>
      <c r="C20" s="12" t="s">
        <v>63</v>
      </c>
      <c r="D20" s="12" t="s">
        <v>61</v>
      </c>
      <c r="E20" s="11">
        <v>15</v>
      </c>
      <c r="F20" s="11">
        <v>10</v>
      </c>
      <c r="G20" s="13">
        <v>45321</v>
      </c>
      <c r="H20">
        <f t="shared" si="1"/>
        <v>150</v>
      </c>
    </row>
    <row r="21" spans="1:17" ht="15" thickBot="1" x14ac:dyDescent="0.4">
      <c r="A21" s="11">
        <v>1020</v>
      </c>
      <c r="B21" s="12" t="s">
        <v>84</v>
      </c>
      <c r="C21" s="12" t="s">
        <v>66</v>
      </c>
      <c r="D21" s="12" t="s">
        <v>64</v>
      </c>
      <c r="E21" s="11">
        <v>18</v>
      </c>
      <c r="F21" s="11">
        <v>25</v>
      </c>
      <c r="G21" s="13">
        <v>45323</v>
      </c>
      <c r="H21">
        <f t="shared" si="1"/>
        <v>450</v>
      </c>
    </row>
    <row r="22" spans="1:17" ht="15" thickBot="1" x14ac:dyDescent="0.4">
      <c r="A22" s="11">
        <v>1021</v>
      </c>
      <c r="B22" s="12" t="s">
        <v>85</v>
      </c>
      <c r="C22" s="12" t="s">
        <v>57</v>
      </c>
      <c r="D22" s="12" t="s">
        <v>58</v>
      </c>
      <c r="E22" s="11">
        <v>9</v>
      </c>
      <c r="F22" s="11">
        <v>50</v>
      </c>
      <c r="G22" s="13">
        <v>45324</v>
      </c>
      <c r="H22">
        <f t="shared" si="1"/>
        <v>450</v>
      </c>
    </row>
    <row r="23" spans="1:17" ht="15" thickBot="1" x14ac:dyDescent="0.4">
      <c r="A23" s="11">
        <v>1022</v>
      </c>
      <c r="B23" s="12" t="s">
        <v>86</v>
      </c>
      <c r="C23" s="12" t="s">
        <v>60</v>
      </c>
      <c r="D23" s="12" t="s">
        <v>68</v>
      </c>
      <c r="E23" s="11">
        <v>35</v>
      </c>
      <c r="F23" s="11">
        <v>5</v>
      </c>
      <c r="G23" s="13">
        <v>45325</v>
      </c>
      <c r="H23">
        <f t="shared" si="1"/>
        <v>175</v>
      </c>
    </row>
    <row r="24" spans="1:17" ht="15" thickBot="1" x14ac:dyDescent="0.4">
      <c r="A24" s="11">
        <v>1023</v>
      </c>
      <c r="B24" s="12" t="s">
        <v>87</v>
      </c>
      <c r="C24" s="12" t="s">
        <v>63</v>
      </c>
      <c r="D24" s="12" t="s">
        <v>71</v>
      </c>
      <c r="E24" s="11">
        <v>30</v>
      </c>
      <c r="F24" s="11">
        <v>8</v>
      </c>
      <c r="G24" s="13">
        <v>45326</v>
      </c>
      <c r="H24">
        <f t="shared" si="1"/>
        <v>240</v>
      </c>
    </row>
    <row r="25" spans="1:17" ht="15" thickBot="1" x14ac:dyDescent="0.4">
      <c r="A25" s="11">
        <v>1024</v>
      </c>
      <c r="B25" s="12" t="s">
        <v>88</v>
      </c>
      <c r="C25" s="12" t="s">
        <v>66</v>
      </c>
      <c r="D25" s="12" t="s">
        <v>58</v>
      </c>
      <c r="E25" s="11">
        <v>11</v>
      </c>
      <c r="F25" s="11">
        <v>50</v>
      </c>
      <c r="G25" s="13">
        <v>45328</v>
      </c>
      <c r="H25">
        <f t="shared" si="1"/>
        <v>550</v>
      </c>
    </row>
    <row r="26" spans="1:17" ht="15" thickBot="1" x14ac:dyDescent="0.4">
      <c r="A26" s="11">
        <v>1025</v>
      </c>
      <c r="B26" s="12" t="s">
        <v>89</v>
      </c>
      <c r="C26" s="12" t="s">
        <v>57</v>
      </c>
      <c r="D26" s="12" t="s">
        <v>61</v>
      </c>
      <c r="E26" s="11">
        <v>14</v>
      </c>
      <c r="F26" s="11">
        <v>10</v>
      </c>
      <c r="G26" s="13">
        <v>45329</v>
      </c>
      <c r="H26">
        <f t="shared" si="1"/>
        <v>140</v>
      </c>
    </row>
    <row r="27" spans="1:17" ht="15" thickBot="1" x14ac:dyDescent="0.4">
      <c r="A27" s="11">
        <v>1026</v>
      </c>
      <c r="B27" s="12" t="s">
        <v>90</v>
      </c>
      <c r="C27" s="12" t="s">
        <v>60</v>
      </c>
      <c r="D27" s="12" t="s">
        <v>64</v>
      </c>
      <c r="E27" s="11">
        <v>16</v>
      </c>
      <c r="F27" s="11">
        <v>25</v>
      </c>
      <c r="G27" s="13">
        <v>45330</v>
      </c>
      <c r="H27">
        <f t="shared" si="1"/>
        <v>400</v>
      </c>
    </row>
    <row r="28" spans="1:17" ht="15" thickBot="1" x14ac:dyDescent="0.4">
      <c r="A28" s="11">
        <v>1027</v>
      </c>
      <c r="B28" s="12" t="s">
        <v>91</v>
      </c>
      <c r="C28" s="12" t="s">
        <v>63</v>
      </c>
      <c r="D28" s="12" t="s">
        <v>68</v>
      </c>
      <c r="E28" s="11">
        <v>22</v>
      </c>
      <c r="F28" s="11">
        <v>5</v>
      </c>
      <c r="G28" s="13">
        <v>45331</v>
      </c>
      <c r="H28">
        <f t="shared" si="1"/>
        <v>110</v>
      </c>
    </row>
    <row r="29" spans="1:17" ht="15" thickBot="1" x14ac:dyDescent="0.4">
      <c r="A29" s="11">
        <v>1028</v>
      </c>
      <c r="B29" s="12" t="s">
        <v>92</v>
      </c>
      <c r="C29" s="12" t="s">
        <v>66</v>
      </c>
      <c r="D29" s="12" t="s">
        <v>71</v>
      </c>
      <c r="E29" s="11">
        <v>27</v>
      </c>
      <c r="F29" s="11">
        <v>8</v>
      </c>
      <c r="G29" s="13">
        <v>45332</v>
      </c>
      <c r="H29">
        <f t="shared" si="1"/>
        <v>216</v>
      </c>
    </row>
    <row r="30" spans="1:17" ht="15" thickBot="1" x14ac:dyDescent="0.4">
      <c r="A30" s="11">
        <v>1029</v>
      </c>
      <c r="B30" s="12" t="s">
        <v>93</v>
      </c>
      <c r="C30" s="12" t="s">
        <v>57</v>
      </c>
      <c r="D30" s="12" t="s">
        <v>58</v>
      </c>
      <c r="E30" s="11">
        <v>13</v>
      </c>
      <c r="F30" s="11">
        <v>50</v>
      </c>
      <c r="G30" s="13">
        <v>45334</v>
      </c>
      <c r="H30">
        <f t="shared" si="1"/>
        <v>650</v>
      </c>
    </row>
    <row r="31" spans="1:17" ht="15" thickBot="1" x14ac:dyDescent="0.4">
      <c r="A31" s="11">
        <v>1030</v>
      </c>
      <c r="B31" s="12" t="s">
        <v>94</v>
      </c>
      <c r="C31" s="12" t="s">
        <v>60</v>
      </c>
      <c r="D31" s="12" t="s">
        <v>61</v>
      </c>
      <c r="E31" s="11">
        <v>32</v>
      </c>
      <c r="F31" s="11">
        <v>10</v>
      </c>
      <c r="G31" s="13">
        <v>45335</v>
      </c>
      <c r="H31">
        <f t="shared" si="1"/>
        <v>320</v>
      </c>
    </row>
    <row r="32" spans="1:17" ht="15" thickBot="1" x14ac:dyDescent="0.4">
      <c r="A32" s="11">
        <v>1031</v>
      </c>
      <c r="B32" s="12" t="s">
        <v>95</v>
      </c>
      <c r="C32" s="12" t="s">
        <v>63</v>
      </c>
      <c r="D32" s="12" t="s">
        <v>64</v>
      </c>
      <c r="E32" s="11">
        <v>10</v>
      </c>
      <c r="F32" s="11">
        <v>25</v>
      </c>
      <c r="G32" s="13">
        <v>45336</v>
      </c>
      <c r="H32">
        <f t="shared" si="1"/>
        <v>250</v>
      </c>
    </row>
    <row r="33" spans="1:8" ht="15" thickBot="1" x14ac:dyDescent="0.4">
      <c r="A33" s="11">
        <v>1032</v>
      </c>
      <c r="B33" s="12" t="s">
        <v>96</v>
      </c>
      <c r="C33" s="12" t="s">
        <v>66</v>
      </c>
      <c r="D33" s="12" t="s">
        <v>68</v>
      </c>
      <c r="E33" s="11">
        <v>18</v>
      </c>
      <c r="F33" s="11">
        <v>5</v>
      </c>
      <c r="G33" s="13">
        <v>45338</v>
      </c>
      <c r="H33">
        <f t="shared" si="1"/>
        <v>90</v>
      </c>
    </row>
    <row r="34" spans="1:8" ht="15" thickBot="1" x14ac:dyDescent="0.4">
      <c r="A34" s="11">
        <v>1033</v>
      </c>
      <c r="B34" s="12" t="s">
        <v>97</v>
      </c>
      <c r="C34" s="12" t="s">
        <v>57</v>
      </c>
      <c r="D34" s="12" t="s">
        <v>71</v>
      </c>
      <c r="E34" s="11">
        <v>22</v>
      </c>
      <c r="F34" s="11">
        <v>8</v>
      </c>
      <c r="G34" s="13">
        <v>45339</v>
      </c>
      <c r="H34">
        <f t="shared" si="1"/>
        <v>176</v>
      </c>
    </row>
    <row r="35" spans="1:8" ht="15" thickBot="1" x14ac:dyDescent="0.4">
      <c r="A35" s="11">
        <v>1034</v>
      </c>
      <c r="B35" s="12" t="s">
        <v>98</v>
      </c>
      <c r="C35" s="12" t="s">
        <v>60</v>
      </c>
      <c r="D35" s="12" t="s">
        <v>58</v>
      </c>
      <c r="E35" s="11">
        <v>17</v>
      </c>
      <c r="F35" s="11">
        <v>50</v>
      </c>
      <c r="G35" s="13">
        <v>45340</v>
      </c>
      <c r="H35">
        <f t="shared" si="1"/>
        <v>850</v>
      </c>
    </row>
    <row r="36" spans="1:8" ht="15" thickBot="1" x14ac:dyDescent="0.4">
      <c r="A36" s="11">
        <v>1035</v>
      </c>
      <c r="B36" s="12" t="s">
        <v>99</v>
      </c>
      <c r="C36" s="12" t="s">
        <v>63</v>
      </c>
      <c r="D36" s="12" t="s">
        <v>61</v>
      </c>
      <c r="E36" s="11">
        <v>19</v>
      </c>
      <c r="F36" s="11">
        <v>10</v>
      </c>
      <c r="G36" s="13">
        <v>45341</v>
      </c>
      <c r="H36">
        <f t="shared" si="1"/>
        <v>190</v>
      </c>
    </row>
    <row r="37" spans="1:8" ht="15" thickBot="1" x14ac:dyDescent="0.4">
      <c r="A37" s="11">
        <v>1036</v>
      </c>
      <c r="B37" s="12" t="s">
        <v>100</v>
      </c>
      <c r="C37" s="12" t="s">
        <v>66</v>
      </c>
      <c r="D37" s="12" t="s">
        <v>64</v>
      </c>
      <c r="E37" s="11">
        <v>15</v>
      </c>
      <c r="F37" s="11">
        <v>25</v>
      </c>
      <c r="G37" s="13">
        <v>45343</v>
      </c>
      <c r="H37">
        <f t="shared" si="1"/>
        <v>375</v>
      </c>
    </row>
    <row r="38" spans="1:8" ht="15" thickBot="1" x14ac:dyDescent="0.4">
      <c r="A38" s="11">
        <v>1037</v>
      </c>
      <c r="B38" s="12" t="s">
        <v>101</v>
      </c>
      <c r="C38" s="12" t="s">
        <v>57</v>
      </c>
      <c r="D38" s="12" t="s">
        <v>68</v>
      </c>
      <c r="E38" s="11">
        <v>28</v>
      </c>
      <c r="F38" s="11">
        <v>5</v>
      </c>
      <c r="G38" s="13">
        <v>45344</v>
      </c>
      <c r="H38">
        <f t="shared" si="1"/>
        <v>140</v>
      </c>
    </row>
    <row r="39" spans="1:8" ht="15" thickBot="1" x14ac:dyDescent="0.4">
      <c r="A39" s="11">
        <v>1038</v>
      </c>
      <c r="B39" s="12" t="s">
        <v>102</v>
      </c>
      <c r="C39" s="12" t="s">
        <v>60</v>
      </c>
      <c r="D39" s="12" t="s">
        <v>71</v>
      </c>
      <c r="E39" s="11">
        <v>24</v>
      </c>
      <c r="F39" s="11">
        <v>8</v>
      </c>
      <c r="G39" s="13">
        <v>45345</v>
      </c>
      <c r="H39">
        <f t="shared" si="1"/>
        <v>192</v>
      </c>
    </row>
    <row r="40" spans="1:8" ht="15" thickBot="1" x14ac:dyDescent="0.4">
      <c r="A40" s="11">
        <v>1039</v>
      </c>
      <c r="B40" s="12" t="s">
        <v>103</v>
      </c>
      <c r="C40" s="12" t="s">
        <v>63</v>
      </c>
      <c r="D40" s="12" t="s">
        <v>58</v>
      </c>
      <c r="E40" s="11">
        <v>16</v>
      </c>
      <c r="F40" s="11">
        <v>50</v>
      </c>
      <c r="G40" s="13">
        <v>45347</v>
      </c>
      <c r="H40">
        <f t="shared" si="1"/>
        <v>800</v>
      </c>
    </row>
    <row r="41" spans="1:8" ht="15" thickBot="1" x14ac:dyDescent="0.4">
      <c r="A41" s="11">
        <v>1040</v>
      </c>
      <c r="B41" s="12" t="s">
        <v>104</v>
      </c>
      <c r="C41" s="12" t="s">
        <v>66</v>
      </c>
      <c r="D41" s="12" t="s">
        <v>61</v>
      </c>
      <c r="E41" s="11">
        <v>27</v>
      </c>
      <c r="F41" s="11">
        <v>10</v>
      </c>
      <c r="G41" s="13">
        <v>45348</v>
      </c>
      <c r="H41">
        <f t="shared" si="1"/>
        <v>270</v>
      </c>
    </row>
    <row r="42" spans="1:8" ht="15" thickBot="1" x14ac:dyDescent="0.4">
      <c r="A42" s="11">
        <v>1041</v>
      </c>
      <c r="B42" s="12" t="s">
        <v>105</v>
      </c>
      <c r="C42" s="12" t="s">
        <v>57</v>
      </c>
      <c r="D42" s="12" t="s">
        <v>64</v>
      </c>
      <c r="E42" s="11">
        <v>21</v>
      </c>
      <c r="F42" s="11">
        <v>25</v>
      </c>
      <c r="G42" s="13">
        <v>45349</v>
      </c>
      <c r="H42">
        <f t="shared" si="1"/>
        <v>525</v>
      </c>
    </row>
    <row r="43" spans="1:8" ht="15" thickBot="1" x14ac:dyDescent="0.4">
      <c r="A43" s="11">
        <v>1042</v>
      </c>
      <c r="B43" s="12" t="s">
        <v>106</v>
      </c>
      <c r="C43" s="12" t="s">
        <v>60</v>
      </c>
      <c r="D43" s="12" t="s">
        <v>68</v>
      </c>
      <c r="E43" s="11">
        <v>30</v>
      </c>
      <c r="F43" s="11">
        <v>5</v>
      </c>
      <c r="G43" s="13">
        <v>45350</v>
      </c>
      <c r="H43">
        <f t="shared" si="1"/>
        <v>150</v>
      </c>
    </row>
    <row r="44" spans="1:8" ht="15" thickBot="1" x14ac:dyDescent="0.4">
      <c r="A44" s="11">
        <v>1043</v>
      </c>
      <c r="B44" s="12" t="s">
        <v>107</v>
      </c>
      <c r="C44" s="12" t="s">
        <v>63</v>
      </c>
      <c r="D44" s="12" t="s">
        <v>71</v>
      </c>
      <c r="E44" s="11">
        <v>26</v>
      </c>
      <c r="F44" s="11">
        <v>8</v>
      </c>
      <c r="G44" s="13">
        <v>45352</v>
      </c>
      <c r="H44">
        <f t="shared" si="1"/>
        <v>208</v>
      </c>
    </row>
    <row r="45" spans="1:8" ht="15" thickBot="1" x14ac:dyDescent="0.4">
      <c r="A45" s="11">
        <v>1044</v>
      </c>
      <c r="B45" s="12" t="s">
        <v>108</v>
      </c>
      <c r="C45" s="12" t="s">
        <v>66</v>
      </c>
      <c r="D45" s="12" t="s">
        <v>58</v>
      </c>
      <c r="E45" s="11">
        <v>14</v>
      </c>
      <c r="F45" s="11">
        <v>50</v>
      </c>
      <c r="G45" s="13">
        <v>45353</v>
      </c>
      <c r="H45">
        <f t="shared" si="1"/>
        <v>700</v>
      </c>
    </row>
    <row r="46" spans="1:8" ht="15" thickBot="1" x14ac:dyDescent="0.4">
      <c r="A46" s="11">
        <v>1045</v>
      </c>
      <c r="B46" s="12" t="s">
        <v>109</v>
      </c>
      <c r="C46" s="12" t="s">
        <v>57</v>
      </c>
      <c r="D46" s="12" t="s">
        <v>61</v>
      </c>
      <c r="E46" s="11">
        <v>20</v>
      </c>
      <c r="F46" s="11">
        <v>10</v>
      </c>
      <c r="G46" s="13">
        <v>45354</v>
      </c>
      <c r="H46">
        <f t="shared" si="1"/>
        <v>200</v>
      </c>
    </row>
    <row r="47" spans="1:8" ht="15" thickBot="1" x14ac:dyDescent="0.4">
      <c r="A47" s="11">
        <v>1046</v>
      </c>
      <c r="B47" s="12" t="s">
        <v>110</v>
      </c>
      <c r="C47" s="12" t="s">
        <v>60</v>
      </c>
      <c r="D47" s="12" t="s">
        <v>64</v>
      </c>
      <c r="E47" s="11">
        <v>17</v>
      </c>
      <c r="F47" s="11">
        <v>25</v>
      </c>
      <c r="G47" s="13">
        <v>45355</v>
      </c>
      <c r="H47">
        <f t="shared" si="1"/>
        <v>425</v>
      </c>
    </row>
    <row r="48" spans="1:8" ht="15" thickBot="1" x14ac:dyDescent="0.4">
      <c r="A48" s="11">
        <v>1047</v>
      </c>
      <c r="B48" s="12" t="s">
        <v>111</v>
      </c>
      <c r="C48" s="12" t="s">
        <v>63</v>
      </c>
      <c r="D48" s="12" t="s">
        <v>68</v>
      </c>
      <c r="E48" s="11">
        <v>19</v>
      </c>
      <c r="F48" s="11">
        <v>5</v>
      </c>
      <c r="G48" s="13">
        <v>45356</v>
      </c>
      <c r="H48">
        <f t="shared" si="1"/>
        <v>95</v>
      </c>
    </row>
    <row r="49" spans="1:8" ht="15" thickBot="1" x14ac:dyDescent="0.4">
      <c r="A49" s="11">
        <v>1048</v>
      </c>
      <c r="B49" s="12" t="s">
        <v>112</v>
      </c>
      <c r="C49" s="12" t="s">
        <v>66</v>
      </c>
      <c r="D49" s="12" t="s">
        <v>71</v>
      </c>
      <c r="E49" s="11">
        <v>32</v>
      </c>
      <c r="F49" s="11">
        <v>8</v>
      </c>
      <c r="G49" s="13">
        <v>45357</v>
      </c>
      <c r="H49">
        <f t="shared" si="1"/>
        <v>256</v>
      </c>
    </row>
    <row r="50" spans="1:8" ht="15" thickBot="1" x14ac:dyDescent="0.4">
      <c r="A50" s="11">
        <v>1049</v>
      </c>
      <c r="B50" s="12" t="s">
        <v>113</v>
      </c>
      <c r="C50" s="12" t="s">
        <v>57</v>
      </c>
      <c r="D50" s="12" t="s">
        <v>58</v>
      </c>
      <c r="E50" s="11">
        <v>12</v>
      </c>
      <c r="F50" s="11">
        <v>50</v>
      </c>
      <c r="G50" s="13">
        <v>45358</v>
      </c>
      <c r="H50">
        <f t="shared" si="1"/>
        <v>600</v>
      </c>
    </row>
    <row r="51" spans="1:8" ht="15" thickBot="1" x14ac:dyDescent="0.4">
      <c r="A51" s="11">
        <v>1050</v>
      </c>
      <c r="B51" s="12" t="s">
        <v>114</v>
      </c>
      <c r="C51" s="12" t="s">
        <v>60</v>
      </c>
      <c r="D51" s="12" t="s">
        <v>61</v>
      </c>
      <c r="E51" s="11">
        <v>25</v>
      </c>
      <c r="F51" s="11">
        <v>10</v>
      </c>
      <c r="G51" s="13">
        <v>45359</v>
      </c>
      <c r="H51">
        <f t="shared" si="1"/>
        <v>250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 1</vt:lpstr>
      <vt:lpstr>QUESTION 2</vt:lpstr>
      <vt:lpstr>QUESTION 3</vt:lpstr>
      <vt:lpstr>QUESTION 7</vt:lpstr>
      <vt:lpstr>QUESTION 4,5,6,8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Janith a</dc:creator>
  <cp:lastModifiedBy>Janith a</cp:lastModifiedBy>
  <dcterms:created xsi:type="dcterms:W3CDTF">2025-12-04T02:06:35Z</dcterms:created>
  <dcterms:modified xsi:type="dcterms:W3CDTF">2025-12-04T09:12:42Z</dcterms:modified>
</cp:coreProperties>
</file>