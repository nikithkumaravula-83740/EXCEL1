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EXCEL PRACTICE\"/>
    </mc:Choice>
  </mc:AlternateContent>
  <xr:revisionPtr revIDLastSave="0" documentId="13_ncr:1_{D52BDF70-CFE9-4815-AA48-B18DCDE8AFE6}" xr6:coauthVersionLast="47" xr6:coauthVersionMax="47" xr10:uidLastSave="{00000000-0000-0000-0000-000000000000}"/>
  <bookViews>
    <workbookView xWindow="-110" yWindow="-110" windowWidth="19420" windowHeight="10300" xr2:uid="{00000000-000D-0000-FFFF-FFFF00000000}"/>
  </bookViews>
  <sheets>
    <sheet name="QUESTION 1" sheetId="1" r:id="rId1"/>
    <sheet name="QUESTION 2" sheetId="2" r:id="rId2"/>
    <sheet name="QUESTION 3" sheetId="3" r:id="rId3"/>
    <sheet name="QUESTION 4" sheetId="4" r:id="rId4"/>
    <sheet name="QUESTION 5" sheetId="5" r:id="rId5"/>
    <sheet name="QUESTION 6" sheetId="6" r:id="rId6"/>
    <sheet name="QUESTION 7" sheetId="7" r:id="rId7"/>
    <sheet name="QUESTION 7d,e" sheetId="8" r:id="rId8"/>
    <sheet name="Question 8" sheetId="9" r:id="rId9"/>
  </sheets>
  <definedNames>
    <definedName name="_xlnm._FilterDatabase" localSheetId="1" hidden="1">'QUESTION 2'!$A$2:$C$5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7" i="6" l="1"/>
  <c r="A22" i="9"/>
  <c r="A15" i="9"/>
  <c r="A10" i="9"/>
  <c r="A6" i="9"/>
  <c r="C14" i="8"/>
  <c r="C13" i="8"/>
  <c r="C12" i="8"/>
  <c r="A6" i="8"/>
  <c r="A20" i="7"/>
  <c r="A14" i="7"/>
  <c r="A8" i="7"/>
  <c r="A28" i="6"/>
  <c r="A23" i="6"/>
  <c r="A13" i="6"/>
  <c r="A8" i="6"/>
  <c r="A37" i="3"/>
  <c r="A30" i="3"/>
  <c r="A23" i="3"/>
  <c r="A16" i="3"/>
  <c r="A8" i="3"/>
</calcChain>
</file>

<file path=xl/sharedStrings.xml><?xml version="1.0" encoding="utf-8"?>
<sst xmlns="http://schemas.openxmlformats.org/spreadsheetml/2006/main" count="240" uniqueCount="169">
  <si>
    <t>Ans:</t>
  </si>
  <si>
    <t>1.What is data cleaning, and why is it important in data analysis?</t>
  </si>
  <si>
    <t>If the data is messy it doesn’t give correct results, we should keep the data is clear you get more accurate results .</t>
  </si>
  <si>
    <t>Data cleaning means checking your data and fixing is there any kind of mistakes in it.</t>
  </si>
  <si>
    <t>.What are the potential consequences of analyzing unclean or messy data?</t>
  </si>
  <si>
    <t>Ans.</t>
  </si>
  <si>
    <t>If we analyse unclean or messy data, there will be many problems like</t>
  </si>
  <si>
    <t>We get wrong results, may be because of missing values repeated data.</t>
  </si>
  <si>
    <t>If we use charts or something that will be confusing.</t>
  </si>
  <si>
    <t>we may get bit depressed or loose trust because we didn’t get the result we want.</t>
  </si>
  <si>
    <t>And may be we may take bad decisions because we will be using incorrect information.</t>
  </si>
  <si>
    <t>.Explain the common steps involved in cleaning and organizing data.</t>
  </si>
  <si>
    <t>To ensure clean and organized data, we should use some data cleaning steps like.</t>
  </si>
  <si>
    <t>And also make sure evey important data is not missing check multiple times.</t>
  </si>
  <si>
    <t>Also there must be correct spellings or  numbers or anything don’t keep the values or something that doesn’t look correct.</t>
  </si>
  <si>
    <t>There must be no extra spaces and etc.</t>
  </si>
  <si>
    <t>Removing duplicates by checking whether  any data is reapated, and delete same multiple times repeated data.</t>
  </si>
  <si>
    <t>We must keep data in clean and clean and understandable order so even if there is any mistake we should be able to find them.</t>
  </si>
  <si>
    <t>2.How would you sort the following dataset first by "Department" (A-Z) and then by "Salary" (Largest to Smallest)? Write a step-by-step approach.</t>
  </si>
  <si>
    <t>Department</t>
  </si>
  <si>
    <t>Employee</t>
  </si>
  <si>
    <t>Salary</t>
  </si>
  <si>
    <t>Sonu</t>
  </si>
  <si>
    <t>IT</t>
  </si>
  <si>
    <t>Pranav</t>
  </si>
  <si>
    <t>HR</t>
  </si>
  <si>
    <t>Rahul</t>
  </si>
  <si>
    <t>First I used sorting for Department column by choosing order A-Z  so this will give you the result like HR, IT, IT like that.</t>
  </si>
  <si>
    <t>And next by clicking on add new level, I sorted salary from largest to smallest, this gives highest to lowest values like 5000, 4000, 2500.</t>
  </si>
  <si>
    <t>3.Explain the use of text functions such as TRIM , LEFT, RIGHT, MID, and CONCAT in data cleaning.</t>
  </si>
  <si>
    <t>Example:</t>
  </si>
  <si>
    <t xml:space="preserve"> RAHUL</t>
  </si>
  <si>
    <t>FORMULA:</t>
  </si>
  <si>
    <t>"=TRIM(A6)", this removed extra space which is given in A6 and gave correct text by removing space in A7.</t>
  </si>
  <si>
    <t>TRIM:</t>
  </si>
  <si>
    <t>LEFT:</t>
  </si>
  <si>
    <t>Left is used to take certain no.of characters from left side of text, this is used only when we want first few letters or number.</t>
  </si>
  <si>
    <t>→We have space here which is not needed.</t>
  </si>
  <si>
    <t>→Using "TRIM" function removed extra sapce which is not needed.</t>
  </si>
  <si>
    <t>→So we used "LEFT" function and gave how many numbers of text you want so it gives the result.</t>
  </si>
  <si>
    <t>MH500011</t>
  </si>
  <si>
    <t>RIGHT:</t>
  </si>
  <si>
    <t>Right is used to take charatcers from right side of the text, it helps when we want last characters or values of text.</t>
  </si>
  <si>
    <t>→We need state only from here.</t>
  </si>
  <si>
    <t>We need pin code of state from here.</t>
  </si>
  <si>
    <t>→So  we use "RIGHT" function so that it gives the code you want when you give how many values you want.</t>
  </si>
  <si>
    <t>MID:</t>
  </si>
  <si>
    <t>MID picks characters from the middle of a text what we choose like the starting and how many characters you want.</t>
  </si>
  <si>
    <t>We need 50 as result.</t>
  </si>
  <si>
    <t>CONCAT:</t>
  </si>
  <si>
    <t>CONCAT is used to join two or more pieces of text together like combining two or more different cells.</t>
  </si>
  <si>
    <t>NIKITH</t>
  </si>
  <si>
    <t>KUMAR</t>
  </si>
  <si>
    <t>→Here the characters are in two pieces .</t>
  </si>
  <si>
    <t>→Using "CONCAT" we combined both the pieces into one and using " " space creates gap instead of merging that with gap.</t>
  </si>
  <si>
    <t>Formula: "=LEFT(A15,2)"</t>
  </si>
  <si>
    <t>Formula: "=RIGHT(A23,6)"</t>
  </si>
  <si>
    <t>→So we use "MID" to get those values as result this gives the result you want.</t>
  </si>
  <si>
    <t>Formula: "=MID(A28,3,2)"</t>
  </si>
  <si>
    <t>Formula: "=CONCAT(A33," ",B33)</t>
  </si>
  <si>
    <t>4.What is the role of date functions like TODAY in managing datasets?</t>
  </si>
  <si>
    <t>Date functions like Today()  used when we want dates automatically instead of typing the date ourself,</t>
  </si>
  <si>
    <t>When you type the date there will be chances of typing it incorrectly .</t>
  </si>
  <si>
    <t>This is mainly useful for creating reports.</t>
  </si>
  <si>
    <t>Makes easier when using with filters .</t>
  </si>
  <si>
    <t>5.Apply Data Validation to restrict Quantity values to only whole numbers between 1 and 10.</t>
  </si>
  <si>
    <t>.Configure an input message that appears when a user selects a cell in the "Quantity" column explaining:_x000B_ "Please enter a whole number between 1 and 10."</t>
  </si>
  <si>
    <t>.Set up an error alert message that triggers if the user enters a number less than 1 or greater than 10, showing:</t>
  </si>
  <si>
    <t>"Invalid input! The quantity must be a whole number between 1 and 10."</t>
  </si>
  <si>
    <t>Customer Name</t>
  </si>
  <si>
    <t>Product Name</t>
  </si>
  <si>
    <t>Category</t>
  </si>
  <si>
    <t>Quantity</t>
  </si>
  <si>
    <t>Unit Price ($)</t>
  </si>
  <si>
    <t>Jane Smith</t>
  </si>
  <si>
    <t>Isabella Moore</t>
  </si>
  <si>
    <t>Daniel Davis</t>
  </si>
  <si>
    <t>Alex Moore</t>
  </si>
  <si>
    <t>Michael Johnson</t>
  </si>
  <si>
    <t>Daniel Johnson</t>
  </si>
  <si>
    <t>Isabella Davis</t>
  </si>
  <si>
    <t>Jane Davis</t>
  </si>
  <si>
    <t>Alex Wilson</t>
  </si>
  <si>
    <t>shoes</t>
  </si>
  <si>
    <t>laptop</t>
  </si>
  <si>
    <t>sofa</t>
  </si>
  <si>
    <t xml:space="preserve">shoes </t>
  </si>
  <si>
    <t>table lamp</t>
  </si>
  <si>
    <t>back pack</t>
  </si>
  <si>
    <t>headphones</t>
  </si>
  <si>
    <t>tshirt</t>
  </si>
  <si>
    <t>electronics</t>
  </si>
  <si>
    <t>clothing</t>
  </si>
  <si>
    <t>home décor</t>
  </si>
  <si>
    <t>home decor</t>
  </si>
  <si>
    <t>there will be text like enter input olny in between 1 and 10.</t>
  </si>
  <si>
    <t xml:space="preserve">.Here in this I applied data validation under quantity column and kept an input message like."Please enter a whole number between 1 and 10.So when you click on on the quantity column </t>
  </si>
  <si>
    <t>. And also used error setup when ever if we enter more than 10 it will display please enter number between 1 and 10.</t>
  </si>
  <si>
    <t>and also there are some other reasons we can use today() function like:</t>
  </si>
  <si>
    <t>And when you want how many days passed away like using this data when you use "-"days gives you result.</t>
  </si>
  <si>
    <t>Trim is used to remove extra spaces from text, some times by mistake there is a chance of getting extra spaces.</t>
  </si>
  <si>
    <t>6.Understand and apply fundamental text functions like LEFT, RIGHT, MID, and LEN.</t>
  </si>
  <si>
    <t>.Extract the first 5 characters from the string "ExcelTipsAreGreat" using the LEFT function.</t>
  </si>
  <si>
    <t>.Extract the substring "Tips" from "ExcelTipsAreGreat" using the MID function.</t>
  </si>
  <si>
    <t>.Count the total number of characters in the string "Hello World!" using the LEN function.</t>
  </si>
  <si>
    <t>.Create a formula to extract the middle 6 characters from "12345-67890-ABCDE".</t>
  </si>
  <si>
    <t>ExcelTipsAreGreat</t>
  </si>
  <si>
    <t>Formula:"=LEFT(A9,5)"</t>
  </si>
  <si>
    <t>LENGTH:</t>
  </si>
  <si>
    <t>Hello World!</t>
  </si>
  <si>
    <t>Formula:"=LEN(A19)</t>
  </si>
  <si>
    <t>Formula:"=MID(A15,6,4)</t>
  </si>
  <si>
    <t>12345-67890-ABCDE</t>
  </si>
  <si>
    <t>Formula:"=MID(A25,6,6)"</t>
  </si>
  <si>
    <t>7.Understand how to combine text using CONCAT, TEXTJOIN, and the &amp; operator.</t>
  </si>
  <si>
    <t>Hello</t>
  </si>
  <si>
    <t>World</t>
  </si>
  <si>
    <t>Formula:"=CONCAT(A5," ",B5)</t>
  </si>
  <si>
    <t>Apple</t>
  </si>
  <si>
    <t>Banana</t>
  </si>
  <si>
    <t>Cherry</t>
  </si>
  <si>
    <t>Formula:"=TEXTJOIN(", ",TRUE,A12,B12,C12)</t>
  </si>
  <si>
    <t>TEXTJOIN:</t>
  </si>
  <si>
    <t>&amp;(ampersand):</t>
  </si>
  <si>
    <t>:</t>
  </si>
  <si>
    <t>Excel</t>
  </si>
  <si>
    <t>Functions</t>
  </si>
  <si>
    <t>Formula:"=A19&amp;B19&amp;" "&amp;C19&amp;" "&amp;D19"</t>
  </si>
  <si>
    <t>Money</t>
  </si>
  <si>
    <t>Really</t>
  </si>
  <si>
    <t>Happiness</t>
  </si>
  <si>
    <t>Buys</t>
  </si>
  <si>
    <t>Enjoy it</t>
  </si>
  <si>
    <t>Formula:"=TEXTJOIN(", ",TRUE,A1,A2,A3,A4,A5)"</t>
  </si>
  <si>
    <t>a.Use CONCAT to combine "Hello" and "World" with a space in between.</t>
  </si>
  <si>
    <t>b.Combine "Apple", "Banana", and "Cherry" into a single string separated by commas using TEXTJOIN</t>
  </si>
  <si>
    <t>c.Use the &amp; operator to create the string "2025: Excel Functions" by combining "2025", ": ", and "Excel Functions".</t>
  </si>
  <si>
    <t>First Name</t>
  </si>
  <si>
    <t>Last Name</t>
  </si>
  <si>
    <t>Full Name</t>
  </si>
  <si>
    <t>Nikith</t>
  </si>
  <si>
    <t>Kumar</t>
  </si>
  <si>
    <t>→Used "TEXTJOIN"</t>
  </si>
  <si>
    <t>→Used "CONCAT"</t>
  </si>
  <si>
    <t>→Used "&amp;"</t>
  </si>
  <si>
    <t>Formula:"=TEXTJOIN(" ",TRUE,A12,B12)"</t>
  </si>
  <si>
    <t>Formula:"=Nikith&amp;" "&amp;Kumar"</t>
  </si>
  <si>
    <t>Formula:"=CONCAT(A13," ",B13)"</t>
  </si>
  <si>
    <t>7d.Create a comma-separated list from the range A1:A5 using TEXTJOIN</t>
  </si>
  <si>
    <t>7e.Combine first names in column A with last names in column B to create full names in column C.</t>
  </si>
  <si>
    <t>TODAY():</t>
  </si>
  <si>
    <t>This function "TODAY()" gives you exact date instead of entering that manually but only gives date not time.</t>
  </si>
  <si>
    <t>NOW():</t>
  </si>
  <si>
    <t>a.What is the difference between TODAY() and NOW() in Excel? Provide an example of when you would use each function.</t>
  </si>
  <si>
    <t>8.Understanding TODAY() and NOW().</t>
  </si>
  <si>
    <t>And this function "NOW()" gives you exact date and also includes time in it.</t>
  </si>
  <si>
    <t>Here the only difference between "TODAY()" only gives the exact date but it doesn’t give time , but "NOW()" gives exact both date and also time that’s it.</t>
  </si>
  <si>
    <t xml:space="preserve"> b.If cell A1 contains the date 2025-06-10, write a formula using TODAY() to determine how many days are left until that date.</t>
  </si>
  <si>
    <t>Formula:"=A14-TODAY()"</t>
  </si>
  <si>
    <t xml:space="preserve">c.Write an Excel formula using NOW() to display the current date and time in the format MM/DD/YYYY HH:MM AM/PM. </t>
  </si>
  <si>
    <t>We should use both "TEXT()" and "NOW()" functions in this to get the required format.</t>
  </si>
  <si>
    <t>Formula:("=TEXT(NOW(),MM/DD/YYYY HH:MM AM/PM)"</t>
  </si>
  <si>
    <t>d.If a cell contains =TODAY(), what will happen when the worksheet is reopened the next day? Explain</t>
  </si>
  <si>
    <t>It will change everytime whenever you open and close the excel sheets so the date and time which is present in the excel sheet will be changed when you open the sheet tomorrow.</t>
  </si>
  <si>
    <t>e.You want to store a static date (today’s date) in a cell without it changing every day. What keyboard should you use?</t>
  </si>
  <si>
    <t>When you use ctrl+; the date will not change even if you close and reopen the sheets multiple times</t>
  </si>
  <si>
    <t>.Extract the last 4 characters from "DataAnalysis.xlsx" using the RIGHT function.</t>
  </si>
  <si>
    <t>DataAnalysis.xlsx</t>
  </si>
  <si>
    <t>Formula:"=RIGHT(A16,4)"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</si>
</sst>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family val="2"/>
    </font>
  </fonts>
  <fills count="5">
    <fill>
      <patternFill patternType="none"/>
    </fill>
    <fill>
      <patternFill patternType="gray125"/>
    </fill>
    <fill>
      <patternFill patternType="solid">
        <fgColor theme="7"/>
        <bgColor indexed="64"/>
      </patternFill>
    </fill>
    <fill>
      <patternFill patternType="solid">
        <fgColor theme="9" tint="0.39997558519241921"/>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0" fillId="2" borderId="0" xfId="0" applyFill="1"/>
    <xf numFmtId="0" fontId="0" fillId="3" borderId="0" xfId="0" applyFill="1"/>
    <xf numFmtId="0" fontId="1" fillId="3" borderId="1" xfId="0" applyFont="1" applyFill="1" applyBorder="1"/>
    <xf numFmtId="0" fontId="0" fillId="3" borderId="1" xfId="0" applyFill="1" applyBorder="1"/>
    <xf numFmtId="0" fontId="1" fillId="2" borderId="1" xfId="0" applyFont="1" applyFill="1" applyBorder="1"/>
    <xf numFmtId="0" fontId="0" fillId="2" borderId="1" xfId="0" applyFill="1" applyBorder="1"/>
    <xf numFmtId="0" fontId="2" fillId="3" borderId="0" xfId="0" applyFont="1" applyFill="1"/>
    <xf numFmtId="0" fontId="0" fillId="3"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2" borderId="0" xfId="0" applyFill="1" applyBorder="1"/>
    <xf numFmtId="0" fontId="0" fillId="2" borderId="7" xfId="0" applyFill="1" applyBorder="1"/>
    <xf numFmtId="0" fontId="0" fillId="2" borderId="8" xfId="0" applyFill="1" applyBorder="1"/>
    <xf numFmtId="0" fontId="0" fillId="2" borderId="9" xfId="0" applyFill="1" applyBorder="1"/>
    <xf numFmtId="0" fontId="0" fillId="2" borderId="10" xfId="0" applyFill="1" applyBorder="1"/>
    <xf numFmtId="0" fontId="0" fillId="2" borderId="11" xfId="0" applyFill="1" applyBorder="1"/>
    <xf numFmtId="0" fontId="0" fillId="2" borderId="12" xfId="0" applyFill="1" applyBorder="1"/>
    <xf numFmtId="0" fontId="0" fillId="0" borderId="0" xfId="0" applyBorder="1"/>
    <xf numFmtId="0" fontId="0" fillId="0" borderId="7" xfId="0" applyBorder="1"/>
    <xf numFmtId="0" fontId="0" fillId="0" borderId="8" xfId="0" applyBorder="1"/>
    <xf numFmtId="0" fontId="0" fillId="0" borderId="9" xfId="0" applyBorder="1"/>
    <xf numFmtId="0" fontId="1" fillId="0" borderId="0" xfId="0" applyFont="1"/>
    <xf numFmtId="0" fontId="1" fillId="3" borderId="0" xfId="0" applyFont="1" applyFill="1"/>
    <xf numFmtId="0" fontId="0" fillId="4" borderId="0" xfId="0" applyFill="1"/>
    <xf numFmtId="0" fontId="1" fillId="3" borderId="2" xfId="0" applyFont="1" applyFill="1" applyBorder="1"/>
    <xf numFmtId="14" fontId="0" fillId="3" borderId="0" xfId="0" applyNumberFormat="1" applyFill="1"/>
    <xf numFmtId="22" fontId="0" fillId="3" borderId="0" xfId="0" applyNumberFormat="1" applyFill="1"/>
    <xf numFmtId="2" fontId="0" fillId="3"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6"/>
  <sheetViews>
    <sheetView tabSelected="1" topLeftCell="A13" workbookViewId="0">
      <selection activeCell="M4" sqref="M4"/>
    </sheetView>
  </sheetViews>
  <sheetFormatPr defaultRowHeight="14.5" x14ac:dyDescent="0.35"/>
  <sheetData>
    <row r="1" spans="1:11" x14ac:dyDescent="0.35">
      <c r="A1" s="17" t="s">
        <v>1</v>
      </c>
      <c r="B1" s="18"/>
      <c r="C1" s="18"/>
      <c r="D1" s="18"/>
      <c r="E1" s="18"/>
      <c r="F1" s="18"/>
      <c r="G1" s="19"/>
    </row>
    <row r="3" spans="1:11" x14ac:dyDescent="0.35">
      <c r="A3" s="2" t="s">
        <v>0</v>
      </c>
      <c r="B3" s="2"/>
      <c r="C3" s="2"/>
      <c r="D3" s="2"/>
      <c r="E3" s="2"/>
      <c r="F3" s="2"/>
      <c r="G3" s="2"/>
      <c r="H3" s="2"/>
      <c r="I3" s="2"/>
      <c r="J3" s="2"/>
      <c r="K3" s="2"/>
    </row>
    <row r="4" spans="1:11" x14ac:dyDescent="0.35">
      <c r="A4" s="2" t="s">
        <v>3</v>
      </c>
      <c r="B4" s="2"/>
      <c r="C4" s="2"/>
      <c r="D4" s="2"/>
      <c r="E4" s="2"/>
      <c r="F4" s="2"/>
      <c r="G4" s="2"/>
      <c r="H4" s="2"/>
      <c r="I4" s="2"/>
      <c r="J4" s="2"/>
      <c r="K4" s="2"/>
    </row>
    <row r="5" spans="1:11" x14ac:dyDescent="0.35">
      <c r="A5" s="2" t="s">
        <v>2</v>
      </c>
      <c r="B5" s="2"/>
      <c r="C5" s="2"/>
      <c r="D5" s="2"/>
      <c r="E5" s="2"/>
      <c r="F5" s="2"/>
      <c r="G5" s="2"/>
      <c r="H5" s="2"/>
      <c r="I5" s="2"/>
      <c r="J5" s="2"/>
      <c r="K5" s="2"/>
    </row>
    <row r="6" spans="1:11" x14ac:dyDescent="0.35">
      <c r="A6" s="2"/>
      <c r="B6" s="2"/>
      <c r="C6" s="2"/>
      <c r="D6" s="2"/>
      <c r="E6" s="2"/>
      <c r="F6" s="2"/>
      <c r="G6" s="2"/>
      <c r="H6" s="2"/>
      <c r="I6" s="2"/>
      <c r="J6" s="2"/>
      <c r="K6" s="2"/>
    </row>
    <row r="7" spans="1:11" x14ac:dyDescent="0.35">
      <c r="A7" s="2"/>
      <c r="B7" s="2"/>
      <c r="C7" s="2"/>
      <c r="D7" s="2"/>
      <c r="E7" s="2"/>
      <c r="F7" s="2"/>
      <c r="G7" s="2"/>
      <c r="H7" s="2"/>
      <c r="I7" s="2"/>
      <c r="J7" s="2"/>
      <c r="K7" s="2"/>
    </row>
    <row r="9" spans="1:11" x14ac:dyDescent="0.35">
      <c r="A9" s="17" t="s">
        <v>4</v>
      </c>
      <c r="B9" s="18"/>
      <c r="C9" s="18"/>
      <c r="D9" s="18"/>
      <c r="E9" s="18"/>
      <c r="F9" s="18"/>
      <c r="G9" s="18"/>
      <c r="H9" s="19"/>
    </row>
    <row r="11" spans="1:11" x14ac:dyDescent="0.35">
      <c r="A11" s="2" t="s">
        <v>5</v>
      </c>
      <c r="B11" s="2"/>
      <c r="C11" s="2"/>
      <c r="D11" s="2"/>
      <c r="E11" s="2"/>
      <c r="F11" s="2"/>
      <c r="G11" s="2"/>
      <c r="H11" s="2"/>
      <c r="I11" s="2"/>
      <c r="J11" s="2"/>
      <c r="K11" s="2"/>
    </row>
    <row r="12" spans="1:11" x14ac:dyDescent="0.35">
      <c r="A12" s="2" t="s">
        <v>6</v>
      </c>
      <c r="B12" s="2"/>
      <c r="C12" s="2"/>
      <c r="D12" s="2"/>
      <c r="E12" s="2"/>
      <c r="F12" s="2"/>
      <c r="G12" s="2"/>
      <c r="H12" s="2"/>
      <c r="I12" s="2"/>
      <c r="J12" s="2"/>
      <c r="K12" s="2"/>
    </row>
    <row r="13" spans="1:11" x14ac:dyDescent="0.35">
      <c r="A13" s="2" t="s">
        <v>7</v>
      </c>
      <c r="B13" s="2"/>
      <c r="C13" s="2"/>
      <c r="D13" s="2"/>
      <c r="E13" s="2"/>
      <c r="F13" s="2"/>
      <c r="G13" s="2"/>
      <c r="H13" s="2"/>
      <c r="I13" s="2"/>
      <c r="J13" s="2"/>
      <c r="K13" s="2"/>
    </row>
    <row r="14" spans="1:11" x14ac:dyDescent="0.35">
      <c r="A14" s="2" t="s">
        <v>8</v>
      </c>
      <c r="B14" s="2"/>
      <c r="C14" s="2"/>
      <c r="D14" s="2"/>
      <c r="E14" s="2"/>
      <c r="F14" s="2"/>
      <c r="G14" s="2"/>
      <c r="H14" s="2"/>
      <c r="I14" s="2"/>
      <c r="J14" s="2"/>
      <c r="K14" s="2"/>
    </row>
    <row r="15" spans="1:11" x14ac:dyDescent="0.35">
      <c r="A15" s="2" t="s">
        <v>9</v>
      </c>
      <c r="B15" s="2"/>
      <c r="C15" s="2"/>
      <c r="D15" s="2"/>
      <c r="E15" s="2"/>
      <c r="F15" s="2"/>
      <c r="G15" s="2"/>
      <c r="H15" s="2"/>
      <c r="I15" s="2"/>
      <c r="J15" s="2"/>
      <c r="K15" s="2"/>
    </row>
    <row r="16" spans="1:11" x14ac:dyDescent="0.35">
      <c r="A16" s="2" t="s">
        <v>10</v>
      </c>
      <c r="B16" s="2"/>
      <c r="C16" s="2"/>
      <c r="D16" s="2"/>
      <c r="E16" s="2"/>
      <c r="F16" s="2"/>
      <c r="G16" s="2"/>
      <c r="H16" s="2"/>
      <c r="I16" s="2"/>
      <c r="J16" s="2"/>
      <c r="K16" s="2"/>
    </row>
    <row r="18" spans="1:13" x14ac:dyDescent="0.35">
      <c r="A18" s="17" t="s">
        <v>11</v>
      </c>
      <c r="B18" s="18"/>
      <c r="C18" s="18"/>
      <c r="D18" s="18"/>
      <c r="E18" s="18"/>
      <c r="F18" s="18"/>
      <c r="G18" s="19"/>
    </row>
    <row r="20" spans="1:13" x14ac:dyDescent="0.35">
      <c r="A20" s="2" t="s">
        <v>5</v>
      </c>
      <c r="B20" s="2"/>
      <c r="C20" s="2"/>
      <c r="D20" s="2"/>
      <c r="E20" s="2"/>
      <c r="F20" s="2"/>
      <c r="G20" s="2"/>
      <c r="H20" s="2"/>
      <c r="I20" s="2"/>
      <c r="J20" s="2"/>
      <c r="K20" s="2"/>
      <c r="L20" s="2"/>
      <c r="M20" s="2"/>
    </row>
    <row r="21" spans="1:13" x14ac:dyDescent="0.35">
      <c r="A21" s="2" t="s">
        <v>12</v>
      </c>
      <c r="B21" s="2"/>
      <c r="C21" s="2"/>
      <c r="D21" s="2"/>
      <c r="E21" s="2"/>
      <c r="F21" s="2"/>
      <c r="G21" s="2"/>
      <c r="H21" s="2"/>
      <c r="I21" s="2"/>
      <c r="J21" s="2"/>
      <c r="K21" s="2"/>
      <c r="L21" s="2"/>
      <c r="M21" s="2"/>
    </row>
    <row r="22" spans="1:13" x14ac:dyDescent="0.35">
      <c r="A22" s="2" t="s">
        <v>16</v>
      </c>
      <c r="B22" s="2"/>
      <c r="C22" s="2"/>
      <c r="D22" s="2"/>
      <c r="E22" s="2"/>
      <c r="F22" s="2"/>
      <c r="G22" s="2"/>
      <c r="H22" s="2"/>
      <c r="I22" s="2"/>
      <c r="J22" s="2"/>
      <c r="K22" s="2"/>
      <c r="L22" s="2"/>
      <c r="M22" s="2"/>
    </row>
    <row r="23" spans="1:13" x14ac:dyDescent="0.35">
      <c r="A23" s="2" t="s">
        <v>13</v>
      </c>
      <c r="B23" s="2"/>
      <c r="C23" s="2"/>
      <c r="D23" s="2"/>
      <c r="E23" s="2"/>
      <c r="F23" s="2"/>
      <c r="G23" s="2"/>
      <c r="H23" s="2"/>
      <c r="I23" s="2"/>
      <c r="J23" s="2"/>
      <c r="K23" s="2"/>
      <c r="L23" s="2"/>
      <c r="M23" s="2"/>
    </row>
    <row r="24" spans="1:13" x14ac:dyDescent="0.35">
      <c r="A24" s="2" t="s">
        <v>14</v>
      </c>
      <c r="B24" s="2"/>
      <c r="C24" s="2"/>
      <c r="D24" s="2"/>
      <c r="E24" s="2"/>
      <c r="F24" s="2"/>
      <c r="G24" s="2"/>
      <c r="H24" s="2"/>
      <c r="I24" s="2"/>
      <c r="J24" s="2"/>
      <c r="K24" s="2"/>
      <c r="L24" s="2"/>
      <c r="M24" s="2"/>
    </row>
    <row r="25" spans="1:13" x14ac:dyDescent="0.35">
      <c r="A25" s="2" t="s">
        <v>15</v>
      </c>
      <c r="B25" s="2"/>
      <c r="C25" s="2"/>
      <c r="D25" s="2"/>
      <c r="E25" s="2"/>
      <c r="F25" s="2"/>
      <c r="G25" s="2"/>
      <c r="H25" s="2"/>
      <c r="I25" s="2"/>
      <c r="J25" s="2"/>
      <c r="K25" s="2"/>
      <c r="L25" s="2"/>
      <c r="M25" s="2"/>
    </row>
    <row r="26" spans="1:13" x14ac:dyDescent="0.35">
      <c r="A26" s="2" t="s">
        <v>17</v>
      </c>
      <c r="B26" s="2"/>
      <c r="C26" s="2"/>
      <c r="D26" s="2"/>
      <c r="E26" s="2"/>
      <c r="F26" s="2"/>
      <c r="G26" s="2"/>
      <c r="H26" s="2"/>
      <c r="I26" s="2"/>
      <c r="J26" s="2"/>
      <c r="K26" s="2"/>
      <c r="L26" s="2"/>
      <c r="M26"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C7D72-AA36-4337-A9A7-20C89B857B42}">
  <dimension ref="A1:N13"/>
  <sheetViews>
    <sheetView workbookViewId="0">
      <selection activeCell="B7" sqref="B7"/>
    </sheetView>
  </sheetViews>
  <sheetFormatPr defaultRowHeight="14.5" x14ac:dyDescent="0.35"/>
  <cols>
    <col min="1" max="1" width="10.36328125" customWidth="1"/>
    <col min="2" max="2" width="10.81640625" customWidth="1"/>
  </cols>
  <sheetData>
    <row r="1" spans="1:14" x14ac:dyDescent="0.35">
      <c r="A1" s="9" t="s">
        <v>18</v>
      </c>
      <c r="B1" s="10"/>
      <c r="C1" s="10"/>
      <c r="D1" s="10"/>
      <c r="E1" s="10"/>
      <c r="F1" s="10"/>
      <c r="G1" s="10"/>
      <c r="H1" s="10"/>
      <c r="I1" s="10"/>
      <c r="J1" s="10"/>
      <c r="K1" s="10"/>
      <c r="L1" s="10"/>
      <c r="M1" s="10"/>
      <c r="N1" s="11"/>
    </row>
    <row r="2" spans="1:14" x14ac:dyDescent="0.35">
      <c r="A2" s="5" t="s">
        <v>20</v>
      </c>
      <c r="B2" s="5" t="s">
        <v>19</v>
      </c>
      <c r="C2" s="5" t="s">
        <v>21</v>
      </c>
      <c r="D2" s="20"/>
      <c r="E2" s="20"/>
      <c r="F2" s="20"/>
      <c r="G2" s="20"/>
      <c r="H2" s="20"/>
      <c r="I2" s="20"/>
      <c r="J2" s="20"/>
      <c r="K2" s="20"/>
      <c r="L2" s="20"/>
      <c r="M2" s="20"/>
      <c r="N2" s="21"/>
    </row>
    <row r="3" spans="1:14" x14ac:dyDescent="0.35">
      <c r="A3" s="6" t="s">
        <v>22</v>
      </c>
      <c r="B3" s="6" t="s">
        <v>23</v>
      </c>
      <c r="C3" s="6">
        <v>4000</v>
      </c>
      <c r="D3" s="20"/>
      <c r="E3" s="20"/>
      <c r="F3" s="20"/>
      <c r="G3" s="20"/>
      <c r="H3" s="20"/>
      <c r="I3" s="20"/>
      <c r="J3" s="20"/>
      <c r="K3" s="20"/>
      <c r="L3" s="20"/>
      <c r="M3" s="20"/>
      <c r="N3" s="21"/>
    </row>
    <row r="4" spans="1:14" x14ac:dyDescent="0.35">
      <c r="A4" s="6" t="s">
        <v>24</v>
      </c>
      <c r="B4" s="6" t="s">
        <v>25</v>
      </c>
      <c r="C4" s="6">
        <v>5000</v>
      </c>
      <c r="D4" s="20"/>
      <c r="E4" s="20"/>
      <c r="F4" s="20"/>
      <c r="G4" s="20"/>
      <c r="H4" s="20"/>
      <c r="I4" s="20"/>
      <c r="J4" s="20"/>
      <c r="K4" s="20"/>
      <c r="L4" s="20"/>
      <c r="M4" s="20"/>
      <c r="N4" s="21"/>
    </row>
    <row r="5" spans="1:14" x14ac:dyDescent="0.35">
      <c r="A5" s="6" t="s">
        <v>26</v>
      </c>
      <c r="B5" s="6" t="s">
        <v>23</v>
      </c>
      <c r="C5" s="6">
        <v>2500</v>
      </c>
      <c r="D5" s="22"/>
      <c r="E5" s="22"/>
      <c r="F5" s="22"/>
      <c r="G5" s="22"/>
      <c r="H5" s="22"/>
      <c r="I5" s="22"/>
      <c r="J5" s="22"/>
      <c r="K5" s="22"/>
      <c r="L5" s="22"/>
      <c r="M5" s="22"/>
      <c r="N5" s="23"/>
    </row>
    <row r="7" spans="1:14" x14ac:dyDescent="0.35">
      <c r="A7" s="2" t="s">
        <v>5</v>
      </c>
      <c r="B7" s="2"/>
      <c r="C7" s="2"/>
      <c r="D7" s="2"/>
      <c r="E7" s="2"/>
      <c r="F7" s="2"/>
      <c r="G7" s="2"/>
      <c r="H7" s="2"/>
      <c r="I7" s="2"/>
      <c r="J7" s="2"/>
      <c r="K7" s="2"/>
      <c r="L7" s="2"/>
      <c r="M7" s="2"/>
    </row>
    <row r="8" spans="1:14" x14ac:dyDescent="0.35">
      <c r="A8" s="3" t="s">
        <v>20</v>
      </c>
      <c r="B8" s="3" t="s">
        <v>19</v>
      </c>
      <c r="C8" s="3" t="s">
        <v>21</v>
      </c>
      <c r="D8" s="2"/>
      <c r="E8" s="2"/>
      <c r="F8" s="2"/>
      <c r="G8" s="2"/>
      <c r="H8" s="2"/>
      <c r="I8" s="2"/>
      <c r="J8" s="2"/>
      <c r="K8" s="2"/>
      <c r="L8" s="2"/>
      <c r="M8" s="2"/>
    </row>
    <row r="9" spans="1:14" x14ac:dyDescent="0.35">
      <c r="A9" s="4" t="s">
        <v>24</v>
      </c>
      <c r="B9" s="4" t="s">
        <v>25</v>
      </c>
      <c r="C9" s="4">
        <v>5000</v>
      </c>
      <c r="D9" s="2"/>
      <c r="E9" s="2"/>
      <c r="F9" s="2"/>
      <c r="G9" s="2"/>
      <c r="H9" s="2"/>
      <c r="I9" s="2"/>
      <c r="J9" s="2"/>
      <c r="K9" s="2"/>
      <c r="L9" s="2"/>
      <c r="M9" s="2"/>
    </row>
    <row r="10" spans="1:14" x14ac:dyDescent="0.35">
      <c r="A10" s="4" t="s">
        <v>22</v>
      </c>
      <c r="B10" s="4" t="s">
        <v>23</v>
      </c>
      <c r="C10" s="4">
        <v>4000</v>
      </c>
      <c r="D10" s="2"/>
      <c r="E10" s="2"/>
      <c r="F10" s="2"/>
      <c r="G10" s="2"/>
      <c r="H10" s="2"/>
      <c r="I10" s="2"/>
      <c r="J10" s="2"/>
      <c r="K10" s="2"/>
      <c r="L10" s="2"/>
      <c r="M10" s="2"/>
    </row>
    <row r="11" spans="1:14" x14ac:dyDescent="0.35">
      <c r="A11" s="4" t="s">
        <v>26</v>
      </c>
      <c r="B11" s="4" t="s">
        <v>23</v>
      </c>
      <c r="C11" s="4">
        <v>2500</v>
      </c>
      <c r="D11" s="2"/>
      <c r="E11" s="2"/>
      <c r="F11" s="2"/>
      <c r="G11" s="2"/>
      <c r="H11" s="2"/>
      <c r="I11" s="2"/>
      <c r="J11" s="2"/>
      <c r="K11" s="2"/>
      <c r="L11" s="2"/>
      <c r="M11" s="2"/>
    </row>
    <row r="12" spans="1:14" x14ac:dyDescent="0.35">
      <c r="A12" s="2" t="s">
        <v>27</v>
      </c>
      <c r="B12" s="2"/>
      <c r="C12" s="2"/>
      <c r="D12" s="2"/>
      <c r="E12" s="2"/>
      <c r="F12" s="2"/>
      <c r="G12" s="2"/>
      <c r="H12" s="2"/>
      <c r="I12" s="2"/>
      <c r="J12" s="2"/>
      <c r="K12" s="2"/>
      <c r="L12" s="2"/>
      <c r="M12" s="2"/>
    </row>
    <row r="13" spans="1:14" x14ac:dyDescent="0.35">
      <c r="A13" s="2" t="s">
        <v>28</v>
      </c>
      <c r="B13" s="2"/>
      <c r="C13" s="2"/>
      <c r="D13" s="2"/>
      <c r="E13" s="2"/>
      <c r="F13" s="2"/>
      <c r="G13" s="2"/>
      <c r="H13" s="2"/>
      <c r="I13" s="2"/>
      <c r="J13" s="2"/>
      <c r="K13" s="2"/>
      <c r="L13" s="2"/>
      <c r="M13" s="2"/>
    </row>
  </sheetData>
  <sortState xmlns:xlrd2="http://schemas.microsoft.com/office/spreadsheetml/2017/richdata2" ref="A9:C11">
    <sortCondition ref="B9:B11"/>
    <sortCondition descending="1" ref="C9:C1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FCCF4-657B-4386-880F-F24221C17BC4}">
  <dimension ref="A1:O38"/>
  <sheetViews>
    <sheetView workbookViewId="0">
      <selection activeCell="L1" sqref="L1"/>
    </sheetView>
  </sheetViews>
  <sheetFormatPr defaultRowHeight="14.5" x14ac:dyDescent="0.35"/>
  <cols>
    <col min="1" max="1" width="13.1796875" customWidth="1"/>
  </cols>
  <sheetData>
    <row r="1" spans="1:15" x14ac:dyDescent="0.35">
      <c r="A1" s="17" t="s">
        <v>29</v>
      </c>
      <c r="B1" s="18"/>
      <c r="C1" s="18"/>
      <c r="D1" s="18"/>
      <c r="E1" s="18"/>
      <c r="F1" s="18"/>
      <c r="G1" s="18"/>
      <c r="H1" s="18"/>
      <c r="I1" s="18"/>
      <c r="J1" s="19"/>
    </row>
    <row r="3" spans="1:15" x14ac:dyDescent="0.35">
      <c r="A3" s="2" t="s">
        <v>5</v>
      </c>
      <c r="B3" s="2"/>
      <c r="C3" s="2"/>
      <c r="D3" s="2"/>
      <c r="E3" s="2"/>
      <c r="F3" s="2"/>
      <c r="G3" s="2"/>
      <c r="H3" s="2"/>
      <c r="I3" s="2"/>
      <c r="J3" s="2"/>
      <c r="K3" s="2"/>
      <c r="L3" s="2"/>
      <c r="M3" s="2"/>
      <c r="N3" s="2"/>
      <c r="O3" s="2"/>
    </row>
    <row r="4" spans="1:15" x14ac:dyDescent="0.35">
      <c r="A4" s="2" t="s">
        <v>34</v>
      </c>
      <c r="B4" s="2"/>
      <c r="C4" s="2"/>
      <c r="D4" s="2"/>
      <c r="E4" s="2"/>
      <c r="F4" s="2"/>
      <c r="G4" s="2"/>
      <c r="H4" s="2"/>
      <c r="I4" s="2"/>
      <c r="J4" s="2"/>
      <c r="K4" s="2"/>
      <c r="L4" s="2"/>
      <c r="M4" s="2"/>
      <c r="N4" s="2"/>
      <c r="O4" s="2"/>
    </row>
    <row r="5" spans="1:15" x14ac:dyDescent="0.35">
      <c r="A5" s="2" t="s">
        <v>100</v>
      </c>
      <c r="B5" s="2"/>
      <c r="C5" s="2"/>
      <c r="D5" s="2"/>
      <c r="E5" s="2"/>
      <c r="F5" s="2"/>
      <c r="G5" s="2"/>
      <c r="H5" s="2"/>
      <c r="I5" s="2"/>
      <c r="J5" s="2"/>
      <c r="K5" s="2"/>
      <c r="L5" s="2"/>
      <c r="M5" s="2"/>
      <c r="N5" s="2"/>
      <c r="O5" s="2"/>
    </row>
    <row r="6" spans="1:15" x14ac:dyDescent="0.35">
      <c r="A6" s="2" t="s">
        <v>30</v>
      </c>
      <c r="B6" s="2"/>
      <c r="C6" s="2"/>
      <c r="D6" s="2"/>
      <c r="E6" s="2"/>
      <c r="F6" s="2"/>
      <c r="G6" s="2"/>
      <c r="H6" s="2"/>
      <c r="I6" s="2"/>
      <c r="J6" s="2"/>
      <c r="K6" s="2"/>
      <c r="L6" s="2"/>
      <c r="M6" s="2"/>
      <c r="N6" s="2"/>
      <c r="O6" s="2"/>
    </row>
    <row r="7" spans="1:15" x14ac:dyDescent="0.35">
      <c r="A7" s="2" t="s">
        <v>31</v>
      </c>
      <c r="B7" s="7" t="s">
        <v>37</v>
      </c>
      <c r="C7" s="2"/>
      <c r="D7" s="2"/>
      <c r="E7" s="2"/>
      <c r="F7" s="2"/>
      <c r="G7" s="2"/>
      <c r="H7" s="2"/>
      <c r="I7" s="2"/>
      <c r="J7" s="2"/>
      <c r="K7" s="2"/>
      <c r="L7" s="2"/>
      <c r="M7" s="2"/>
      <c r="N7" s="2"/>
      <c r="O7" s="2"/>
    </row>
    <row r="8" spans="1:15" x14ac:dyDescent="0.35">
      <c r="A8" s="2" t="str">
        <f>TRIM(A7)</f>
        <v>RAHUL</v>
      </c>
      <c r="B8" s="7" t="s">
        <v>38</v>
      </c>
      <c r="C8" s="2"/>
      <c r="D8" s="2"/>
      <c r="E8" s="2"/>
      <c r="F8" s="2"/>
      <c r="G8" s="2"/>
      <c r="H8" s="2"/>
      <c r="I8" s="2"/>
      <c r="J8" s="2"/>
      <c r="K8" s="2"/>
      <c r="L8" s="2"/>
      <c r="M8" s="2"/>
      <c r="N8" s="2"/>
      <c r="O8" s="2"/>
    </row>
    <row r="9" spans="1:15" x14ac:dyDescent="0.35">
      <c r="A9" s="2" t="s">
        <v>32</v>
      </c>
      <c r="B9" s="2"/>
      <c r="C9" s="2"/>
      <c r="D9" s="2"/>
      <c r="E9" s="2"/>
      <c r="F9" s="2"/>
      <c r="G9" s="2"/>
      <c r="H9" s="2"/>
      <c r="I9" s="2"/>
      <c r="J9" s="2"/>
      <c r="K9" s="2"/>
      <c r="L9" s="2"/>
      <c r="M9" s="2"/>
      <c r="N9" s="2"/>
      <c r="O9" s="2"/>
    </row>
    <row r="10" spans="1:15" x14ac:dyDescent="0.35">
      <c r="A10" s="2" t="s">
        <v>33</v>
      </c>
      <c r="B10" s="2"/>
      <c r="C10" s="2"/>
      <c r="D10" s="2"/>
      <c r="E10" s="2"/>
      <c r="F10" s="2"/>
      <c r="G10" s="2"/>
      <c r="H10" s="2"/>
      <c r="I10" s="2"/>
      <c r="J10" s="2"/>
      <c r="K10" s="2"/>
      <c r="L10" s="2"/>
      <c r="M10" s="2"/>
      <c r="N10" s="2"/>
      <c r="O10" s="2"/>
    </row>
    <row r="11" spans="1:15" x14ac:dyDescent="0.35">
      <c r="A11" s="2"/>
      <c r="B11" s="2"/>
      <c r="C11" s="2"/>
      <c r="D11" s="2"/>
      <c r="E11" s="2"/>
      <c r="F11" s="2"/>
      <c r="G11" s="2"/>
      <c r="H11" s="2"/>
      <c r="I11" s="2"/>
      <c r="J11" s="2"/>
      <c r="K11" s="2"/>
      <c r="L11" s="2"/>
      <c r="M11" s="2"/>
      <c r="N11" s="2"/>
      <c r="O11" s="2"/>
    </row>
    <row r="12" spans="1:15" x14ac:dyDescent="0.35">
      <c r="A12" s="2" t="s">
        <v>35</v>
      </c>
      <c r="B12" s="2"/>
      <c r="C12" s="2"/>
      <c r="D12" s="2"/>
      <c r="E12" s="2"/>
      <c r="F12" s="2"/>
      <c r="G12" s="2"/>
      <c r="H12" s="2"/>
      <c r="I12" s="2"/>
      <c r="J12" s="2"/>
      <c r="K12" s="2"/>
      <c r="L12" s="2"/>
      <c r="M12" s="2"/>
      <c r="N12" s="2"/>
      <c r="O12" s="2"/>
    </row>
    <row r="13" spans="1:15" x14ac:dyDescent="0.35">
      <c r="A13" s="2" t="s">
        <v>36</v>
      </c>
      <c r="B13" s="2"/>
      <c r="C13" s="2"/>
      <c r="D13" s="2"/>
      <c r="E13" s="2"/>
      <c r="F13" s="2"/>
      <c r="G13" s="2"/>
      <c r="H13" s="2"/>
      <c r="I13" s="2"/>
      <c r="J13" s="2"/>
      <c r="K13" s="2"/>
      <c r="L13" s="2"/>
      <c r="M13" s="2"/>
      <c r="N13" s="2"/>
      <c r="O13" s="2"/>
    </row>
    <row r="14" spans="1:15" x14ac:dyDescent="0.35">
      <c r="A14" s="2" t="s">
        <v>30</v>
      </c>
      <c r="B14" s="2"/>
      <c r="C14" s="2"/>
      <c r="D14" s="2"/>
      <c r="E14" s="2"/>
      <c r="F14" s="2"/>
      <c r="G14" s="2"/>
      <c r="H14" s="2"/>
      <c r="I14" s="2"/>
      <c r="J14" s="2"/>
      <c r="K14" s="2"/>
      <c r="L14" s="2"/>
      <c r="M14" s="2"/>
      <c r="N14" s="2"/>
      <c r="O14" s="2"/>
    </row>
    <row r="15" spans="1:15" x14ac:dyDescent="0.35">
      <c r="A15" s="2" t="s">
        <v>40</v>
      </c>
      <c r="B15" s="7" t="s">
        <v>43</v>
      </c>
      <c r="C15" s="2"/>
      <c r="D15" s="2"/>
      <c r="E15" s="2"/>
      <c r="F15" s="2"/>
      <c r="G15" s="2"/>
      <c r="H15" s="2"/>
      <c r="I15" s="2"/>
      <c r="J15" s="2"/>
      <c r="K15" s="2"/>
      <c r="L15" s="2"/>
      <c r="M15" s="2"/>
      <c r="N15" s="2"/>
      <c r="O15" s="2"/>
    </row>
    <row r="16" spans="1:15" x14ac:dyDescent="0.35">
      <c r="A16" s="2" t="str">
        <f>LEFT(A15,2)</f>
        <v>MH</v>
      </c>
      <c r="B16" s="7" t="s">
        <v>39</v>
      </c>
      <c r="C16" s="2"/>
      <c r="D16" s="2"/>
      <c r="E16" s="2"/>
      <c r="F16" s="2"/>
      <c r="G16" s="2"/>
      <c r="H16" s="2"/>
      <c r="I16" s="2"/>
      <c r="J16" s="2"/>
      <c r="K16" s="2"/>
      <c r="L16" s="2"/>
      <c r="M16" s="2"/>
      <c r="N16" s="2"/>
      <c r="O16" s="2"/>
    </row>
    <row r="17" spans="1:15" x14ac:dyDescent="0.35">
      <c r="A17" s="2" t="s">
        <v>55</v>
      </c>
      <c r="B17" s="2"/>
      <c r="C17" s="2"/>
      <c r="D17" s="2"/>
      <c r="E17" s="2"/>
      <c r="F17" s="2"/>
      <c r="G17" s="2"/>
      <c r="H17" s="2"/>
      <c r="I17" s="2"/>
      <c r="J17" s="2"/>
      <c r="K17" s="2"/>
      <c r="L17" s="2"/>
      <c r="M17" s="2"/>
      <c r="N17" s="2"/>
      <c r="O17" s="2"/>
    </row>
    <row r="18" spans="1:15" x14ac:dyDescent="0.35">
      <c r="A18" s="2"/>
      <c r="B18" s="2"/>
      <c r="C18" s="2"/>
      <c r="D18" s="2"/>
      <c r="E18" s="2"/>
      <c r="F18" s="2"/>
      <c r="G18" s="2"/>
      <c r="H18" s="2"/>
      <c r="I18" s="2"/>
      <c r="J18" s="2"/>
      <c r="K18" s="2"/>
      <c r="L18" s="2"/>
      <c r="M18" s="2"/>
      <c r="N18" s="2"/>
      <c r="O18" s="2"/>
    </row>
    <row r="19" spans="1:15" x14ac:dyDescent="0.35">
      <c r="A19" s="2" t="s">
        <v>41</v>
      </c>
      <c r="B19" s="2"/>
      <c r="C19" s="2"/>
      <c r="D19" s="2"/>
      <c r="E19" s="2"/>
      <c r="F19" s="2"/>
      <c r="G19" s="2"/>
      <c r="H19" s="2"/>
      <c r="I19" s="2"/>
      <c r="J19" s="2"/>
      <c r="K19" s="2"/>
      <c r="L19" s="2"/>
      <c r="M19" s="2"/>
      <c r="N19" s="2"/>
      <c r="O19" s="2"/>
    </row>
    <row r="20" spans="1:15" x14ac:dyDescent="0.35">
      <c r="A20" s="2" t="s">
        <v>42</v>
      </c>
      <c r="B20" s="2"/>
      <c r="C20" s="2"/>
      <c r="D20" s="2"/>
      <c r="E20" s="2"/>
      <c r="F20" s="2"/>
      <c r="G20" s="2"/>
      <c r="H20" s="2"/>
      <c r="I20" s="2"/>
      <c r="J20" s="2"/>
      <c r="K20" s="2"/>
      <c r="L20" s="2"/>
      <c r="M20" s="2"/>
      <c r="N20" s="2"/>
      <c r="O20" s="2"/>
    </row>
    <row r="21" spans="1:15" x14ac:dyDescent="0.35">
      <c r="A21" s="2" t="s">
        <v>30</v>
      </c>
      <c r="B21" s="2"/>
      <c r="C21" s="2"/>
      <c r="D21" s="2"/>
      <c r="E21" s="2"/>
      <c r="F21" s="2"/>
      <c r="G21" s="2"/>
      <c r="H21" s="2"/>
      <c r="I21" s="2"/>
      <c r="J21" s="2"/>
      <c r="K21" s="2"/>
      <c r="L21" s="2"/>
      <c r="M21" s="2"/>
      <c r="N21" s="2"/>
      <c r="O21" s="2"/>
    </row>
    <row r="22" spans="1:15" x14ac:dyDescent="0.35">
      <c r="A22" s="2" t="s">
        <v>40</v>
      </c>
      <c r="B22" s="7" t="s">
        <v>44</v>
      </c>
      <c r="C22" s="2"/>
      <c r="D22" s="2"/>
      <c r="E22" s="2"/>
      <c r="F22" s="2"/>
      <c r="G22" s="2"/>
      <c r="H22" s="2"/>
      <c r="I22" s="2"/>
      <c r="J22" s="2"/>
      <c r="K22" s="2"/>
      <c r="L22" s="2"/>
      <c r="M22" s="2"/>
      <c r="N22" s="2"/>
      <c r="O22" s="2"/>
    </row>
    <row r="23" spans="1:15" x14ac:dyDescent="0.35">
      <c r="A23" s="2" t="str">
        <f>RIGHT(A22,6)</f>
        <v>500011</v>
      </c>
      <c r="B23" s="7" t="s">
        <v>45</v>
      </c>
      <c r="C23" s="2"/>
      <c r="D23" s="2"/>
      <c r="E23" s="2"/>
      <c r="F23" s="2"/>
      <c r="G23" s="2"/>
      <c r="H23" s="2"/>
      <c r="I23" s="2"/>
      <c r="J23" s="2"/>
      <c r="K23" s="2"/>
      <c r="L23" s="2"/>
      <c r="M23" s="2"/>
      <c r="N23" s="2"/>
      <c r="O23" s="2"/>
    </row>
    <row r="24" spans="1:15" x14ac:dyDescent="0.35">
      <c r="A24" s="2" t="s">
        <v>56</v>
      </c>
      <c r="B24" s="2"/>
      <c r="C24" s="2"/>
      <c r="D24" s="2"/>
      <c r="E24" s="2"/>
      <c r="F24" s="2"/>
      <c r="G24" s="2"/>
      <c r="H24" s="2"/>
      <c r="I24" s="2"/>
      <c r="J24" s="2"/>
      <c r="K24" s="2"/>
      <c r="L24" s="2"/>
      <c r="M24" s="2"/>
      <c r="N24" s="2"/>
      <c r="O24" s="2"/>
    </row>
    <row r="25" spans="1:15" x14ac:dyDescent="0.35">
      <c r="A25" s="2"/>
      <c r="B25" s="2"/>
      <c r="C25" s="2"/>
      <c r="D25" s="2"/>
      <c r="E25" s="2"/>
      <c r="F25" s="2"/>
      <c r="G25" s="2"/>
      <c r="H25" s="2"/>
      <c r="I25" s="2"/>
      <c r="J25" s="2"/>
      <c r="K25" s="2"/>
      <c r="L25" s="2"/>
      <c r="M25" s="2"/>
      <c r="N25" s="2"/>
      <c r="O25" s="2"/>
    </row>
    <row r="26" spans="1:15" x14ac:dyDescent="0.35">
      <c r="A26" s="2" t="s">
        <v>46</v>
      </c>
      <c r="B26" s="2"/>
      <c r="C26" s="2"/>
      <c r="D26" s="2"/>
      <c r="E26" s="2"/>
      <c r="F26" s="2"/>
      <c r="G26" s="2"/>
      <c r="H26" s="2"/>
      <c r="I26" s="2"/>
      <c r="J26" s="2"/>
      <c r="K26" s="2"/>
      <c r="L26" s="2"/>
      <c r="M26" s="2"/>
      <c r="N26" s="2"/>
      <c r="O26" s="2"/>
    </row>
    <row r="27" spans="1:15" x14ac:dyDescent="0.35">
      <c r="A27" s="2" t="s">
        <v>47</v>
      </c>
      <c r="B27" s="2"/>
      <c r="C27" s="2"/>
      <c r="D27" s="2"/>
      <c r="E27" s="2"/>
      <c r="F27" s="2"/>
      <c r="G27" s="2"/>
      <c r="H27" s="2"/>
      <c r="I27" s="2"/>
      <c r="J27" s="2"/>
      <c r="K27" s="2"/>
      <c r="L27" s="2"/>
      <c r="M27" s="2"/>
      <c r="N27" s="2"/>
      <c r="O27" s="2"/>
    </row>
    <row r="28" spans="1:15" x14ac:dyDescent="0.35">
      <c r="A28" s="2" t="s">
        <v>30</v>
      </c>
      <c r="B28" s="2"/>
      <c r="C28" s="2"/>
      <c r="D28" s="2"/>
      <c r="E28" s="2"/>
      <c r="F28" s="2"/>
      <c r="G28" s="2"/>
      <c r="H28" s="2"/>
      <c r="I28" s="2"/>
      <c r="J28" s="2"/>
      <c r="K28" s="2"/>
      <c r="L28" s="2"/>
      <c r="M28" s="2"/>
      <c r="N28" s="2"/>
      <c r="O28" s="2"/>
    </row>
    <row r="29" spans="1:15" x14ac:dyDescent="0.35">
      <c r="A29" s="2" t="s">
        <v>40</v>
      </c>
      <c r="B29" s="7" t="s">
        <v>48</v>
      </c>
      <c r="C29" s="2"/>
      <c r="D29" s="2"/>
      <c r="E29" s="2"/>
      <c r="F29" s="2"/>
      <c r="G29" s="2"/>
      <c r="H29" s="2"/>
      <c r="I29" s="2"/>
      <c r="J29" s="2"/>
      <c r="K29" s="2"/>
      <c r="L29" s="2"/>
      <c r="M29" s="2"/>
      <c r="N29" s="2"/>
      <c r="O29" s="2"/>
    </row>
    <row r="30" spans="1:15" x14ac:dyDescent="0.35">
      <c r="A30" s="2" t="str">
        <f>MID(A29,3,2)</f>
        <v>50</v>
      </c>
      <c r="B30" s="7" t="s">
        <v>57</v>
      </c>
      <c r="C30" s="2"/>
      <c r="D30" s="2"/>
      <c r="E30" s="2"/>
      <c r="F30" s="2"/>
      <c r="G30" s="2"/>
      <c r="H30" s="2"/>
      <c r="I30" s="2"/>
      <c r="J30" s="2"/>
      <c r="K30" s="2"/>
      <c r="L30" s="2"/>
      <c r="M30" s="2"/>
      <c r="N30" s="2"/>
      <c r="O30" s="2"/>
    </row>
    <row r="31" spans="1:15" x14ac:dyDescent="0.35">
      <c r="A31" s="2" t="s">
        <v>58</v>
      </c>
      <c r="B31" s="2"/>
      <c r="C31" s="2"/>
      <c r="D31" s="2"/>
      <c r="E31" s="2"/>
      <c r="F31" s="2"/>
      <c r="G31" s="2"/>
      <c r="H31" s="2"/>
      <c r="I31" s="2"/>
      <c r="J31" s="2"/>
      <c r="K31" s="2"/>
      <c r="L31" s="2"/>
      <c r="M31" s="2"/>
      <c r="N31" s="2"/>
      <c r="O31" s="2"/>
    </row>
    <row r="32" spans="1:15" x14ac:dyDescent="0.35">
      <c r="A32" s="2"/>
      <c r="B32" s="2"/>
      <c r="C32" s="2"/>
      <c r="D32" s="2"/>
      <c r="E32" s="2"/>
      <c r="F32" s="2"/>
      <c r="G32" s="2"/>
      <c r="H32" s="2"/>
      <c r="I32" s="2"/>
      <c r="J32" s="2"/>
      <c r="K32" s="2"/>
      <c r="L32" s="2"/>
      <c r="M32" s="2"/>
      <c r="N32" s="2"/>
      <c r="O32" s="2"/>
    </row>
    <row r="33" spans="1:15" x14ac:dyDescent="0.35">
      <c r="A33" s="2" t="s">
        <v>49</v>
      </c>
      <c r="B33" s="2"/>
      <c r="C33" s="2"/>
      <c r="D33" s="2"/>
      <c r="E33" s="2"/>
      <c r="F33" s="2"/>
      <c r="G33" s="2"/>
      <c r="H33" s="2"/>
      <c r="I33" s="2"/>
      <c r="J33" s="2"/>
      <c r="K33" s="2"/>
      <c r="L33" s="2"/>
      <c r="M33" s="2"/>
      <c r="N33" s="2"/>
      <c r="O33" s="2"/>
    </row>
    <row r="34" spans="1:15" x14ac:dyDescent="0.35">
      <c r="A34" s="2" t="s">
        <v>50</v>
      </c>
      <c r="B34" s="2"/>
      <c r="C34" s="2"/>
      <c r="D34" s="2"/>
      <c r="E34" s="2"/>
      <c r="F34" s="2"/>
      <c r="G34" s="2"/>
      <c r="H34" s="2"/>
      <c r="I34" s="2"/>
      <c r="J34" s="2"/>
      <c r="K34" s="2"/>
      <c r="L34" s="2"/>
      <c r="M34" s="2"/>
      <c r="N34" s="2"/>
      <c r="O34" s="2"/>
    </row>
    <row r="35" spans="1:15" x14ac:dyDescent="0.35">
      <c r="A35" s="2" t="s">
        <v>30</v>
      </c>
      <c r="B35" s="2"/>
      <c r="C35" s="2"/>
      <c r="D35" s="2"/>
      <c r="E35" s="2"/>
      <c r="F35" s="2"/>
      <c r="G35" s="2"/>
      <c r="H35" s="2"/>
      <c r="I35" s="2"/>
      <c r="J35" s="2"/>
      <c r="K35" s="2"/>
      <c r="L35" s="2"/>
      <c r="M35" s="2"/>
      <c r="N35" s="2"/>
      <c r="O35" s="2"/>
    </row>
    <row r="36" spans="1:15" x14ac:dyDescent="0.35">
      <c r="A36" s="2" t="s">
        <v>51</v>
      </c>
      <c r="B36" s="2" t="s">
        <v>52</v>
      </c>
      <c r="C36" s="7" t="s">
        <v>53</v>
      </c>
      <c r="D36" s="2"/>
      <c r="E36" s="2"/>
      <c r="F36" s="2"/>
      <c r="G36" s="2"/>
      <c r="H36" s="2"/>
      <c r="I36" s="2"/>
      <c r="J36" s="2"/>
      <c r="K36" s="2"/>
      <c r="L36" s="2"/>
      <c r="M36" s="2"/>
      <c r="N36" s="2"/>
      <c r="O36" s="2"/>
    </row>
    <row r="37" spans="1:15" x14ac:dyDescent="0.35">
      <c r="A37" s="2" t="str">
        <f>_xlfn.CONCAT(A36," ",B36)</f>
        <v>NIKITH KUMAR</v>
      </c>
      <c r="B37" s="2"/>
      <c r="C37" s="7" t="s">
        <v>54</v>
      </c>
      <c r="D37" s="2"/>
      <c r="E37" s="2"/>
      <c r="F37" s="2"/>
      <c r="G37" s="2"/>
      <c r="H37" s="2"/>
      <c r="I37" s="2"/>
      <c r="J37" s="2"/>
      <c r="K37" s="2"/>
      <c r="L37" s="2"/>
      <c r="M37" s="2"/>
      <c r="N37" s="2"/>
      <c r="O37" s="2"/>
    </row>
    <row r="38" spans="1:15" x14ac:dyDescent="0.35">
      <c r="A38" s="2" t="s">
        <v>59</v>
      </c>
      <c r="B38" s="2"/>
      <c r="C38" s="2"/>
      <c r="D38" s="2"/>
      <c r="E38" s="2"/>
      <c r="F38" s="2"/>
      <c r="G38" s="2"/>
      <c r="H38" s="2"/>
      <c r="I38" s="2"/>
      <c r="J38" s="2"/>
      <c r="K38" s="2"/>
      <c r="L38" s="2"/>
      <c r="M38" s="2"/>
      <c r="N38" s="2"/>
      <c r="O38"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949BC-373B-49F7-9401-37D5CAB0A21B}">
  <dimension ref="A1:J10"/>
  <sheetViews>
    <sheetView workbookViewId="0">
      <selection activeCell="D13" sqref="D13"/>
    </sheetView>
  </sheetViews>
  <sheetFormatPr defaultRowHeight="14.5" x14ac:dyDescent="0.35"/>
  <sheetData>
    <row r="1" spans="1:10" x14ac:dyDescent="0.35">
      <c r="A1" s="17" t="s">
        <v>60</v>
      </c>
      <c r="B1" s="18"/>
      <c r="C1" s="18"/>
      <c r="D1" s="18"/>
      <c r="E1" s="18"/>
      <c r="F1" s="18"/>
      <c r="G1" s="19"/>
    </row>
    <row r="3" spans="1:10" x14ac:dyDescent="0.35">
      <c r="A3" s="2" t="s">
        <v>5</v>
      </c>
      <c r="B3" s="2"/>
      <c r="C3" s="2"/>
      <c r="D3" s="2"/>
      <c r="E3" s="2"/>
      <c r="F3" s="2"/>
      <c r="G3" s="2"/>
      <c r="H3" s="2"/>
      <c r="I3" s="2"/>
      <c r="J3" s="2"/>
    </row>
    <row r="4" spans="1:10" x14ac:dyDescent="0.35">
      <c r="A4" s="2" t="s">
        <v>61</v>
      </c>
      <c r="B4" s="2"/>
      <c r="C4" s="2"/>
      <c r="D4" s="2"/>
      <c r="E4" s="2"/>
      <c r="F4" s="2"/>
      <c r="G4" s="2"/>
      <c r="H4" s="2"/>
      <c r="I4" s="2"/>
      <c r="J4" s="2"/>
    </row>
    <row r="5" spans="1:10" x14ac:dyDescent="0.35">
      <c r="A5" s="2" t="s">
        <v>98</v>
      </c>
      <c r="B5" s="2"/>
      <c r="C5" s="2"/>
      <c r="D5" s="2"/>
      <c r="E5" s="2"/>
      <c r="F5" s="2"/>
      <c r="G5" s="2"/>
      <c r="H5" s="2"/>
      <c r="I5" s="2"/>
      <c r="J5" s="2"/>
    </row>
    <row r="6" spans="1:10" x14ac:dyDescent="0.35">
      <c r="A6" s="2" t="s">
        <v>62</v>
      </c>
      <c r="B6" s="2"/>
      <c r="C6" s="2"/>
      <c r="D6" s="2"/>
      <c r="E6" s="2"/>
      <c r="F6" s="2"/>
      <c r="G6" s="2"/>
      <c r="H6" s="2"/>
      <c r="I6" s="2"/>
      <c r="J6" s="2"/>
    </row>
    <row r="7" spans="1:10" x14ac:dyDescent="0.35">
      <c r="A7" s="2" t="s">
        <v>99</v>
      </c>
      <c r="B7" s="2"/>
      <c r="C7" s="2"/>
      <c r="D7" s="2"/>
      <c r="E7" s="2"/>
      <c r="F7" s="2"/>
      <c r="G7" s="2"/>
      <c r="H7" s="2"/>
      <c r="I7" s="2"/>
      <c r="J7" s="2"/>
    </row>
    <row r="8" spans="1:10" x14ac:dyDescent="0.35">
      <c r="A8" s="2" t="s">
        <v>63</v>
      </c>
      <c r="B8" s="2"/>
      <c r="C8" s="2"/>
      <c r="D8" s="2"/>
      <c r="E8" s="2"/>
      <c r="F8" s="2"/>
      <c r="G8" s="2"/>
      <c r="H8" s="2"/>
      <c r="I8" s="2"/>
      <c r="J8" s="2"/>
    </row>
    <row r="9" spans="1:10" x14ac:dyDescent="0.35">
      <c r="A9" s="2" t="s">
        <v>64</v>
      </c>
      <c r="B9" s="2"/>
      <c r="C9" s="2"/>
      <c r="D9" s="2"/>
      <c r="E9" s="2"/>
      <c r="F9" s="2"/>
      <c r="G9" s="2"/>
      <c r="H9" s="2"/>
      <c r="I9" s="2"/>
      <c r="J9" s="2"/>
    </row>
    <row r="10" spans="1:10" x14ac:dyDescent="0.35">
      <c r="A10" s="2"/>
      <c r="B10" s="2"/>
      <c r="C10" s="2"/>
      <c r="D10" s="2"/>
      <c r="E10" s="2"/>
      <c r="F10" s="2"/>
      <c r="G10" s="2"/>
      <c r="H10" s="2"/>
      <c r="I10" s="2"/>
      <c r="J1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264F6-EDCF-4033-9D28-AAC5D8523AB9}">
  <dimension ref="A1:P31"/>
  <sheetViews>
    <sheetView workbookViewId="0">
      <selection activeCell="A18" sqref="A18"/>
    </sheetView>
  </sheetViews>
  <sheetFormatPr defaultRowHeight="14.5" x14ac:dyDescent="0.35"/>
  <cols>
    <col min="1" max="1" width="17.81640625" customWidth="1"/>
    <col min="2" max="2" width="13.54296875" customWidth="1"/>
    <col min="4" max="4" width="10.90625" customWidth="1"/>
    <col min="5" max="5" width="12" customWidth="1"/>
  </cols>
  <sheetData>
    <row r="1" spans="1:13" x14ac:dyDescent="0.35">
      <c r="A1" s="9" t="s">
        <v>65</v>
      </c>
      <c r="B1" s="10"/>
      <c r="C1" s="10"/>
      <c r="D1" s="10"/>
      <c r="E1" s="10"/>
      <c r="F1" s="10"/>
      <c r="G1" s="10"/>
      <c r="H1" s="10"/>
      <c r="I1" s="10"/>
      <c r="J1" s="10"/>
      <c r="K1" s="10"/>
      <c r="L1" s="10"/>
      <c r="M1" s="11"/>
    </row>
    <row r="2" spans="1:13" x14ac:dyDescent="0.35">
      <c r="A2" s="12" t="s">
        <v>66</v>
      </c>
      <c r="B2" s="13"/>
      <c r="C2" s="13"/>
      <c r="D2" s="13"/>
      <c r="E2" s="13"/>
      <c r="F2" s="13"/>
      <c r="G2" s="13"/>
      <c r="H2" s="13"/>
      <c r="I2" s="13"/>
      <c r="J2" s="13"/>
      <c r="K2" s="13"/>
      <c r="L2" s="13"/>
      <c r="M2" s="14"/>
    </row>
    <row r="3" spans="1:13" x14ac:dyDescent="0.35">
      <c r="A3" s="12" t="s">
        <v>67</v>
      </c>
      <c r="B3" s="13"/>
      <c r="C3" s="13"/>
      <c r="D3" s="13"/>
      <c r="E3" s="13"/>
      <c r="F3" s="13"/>
      <c r="G3" s="13"/>
      <c r="H3" s="13"/>
      <c r="I3" s="13"/>
      <c r="J3" s="13"/>
      <c r="K3" s="13"/>
      <c r="L3" s="13"/>
      <c r="M3" s="14"/>
    </row>
    <row r="4" spans="1:13" x14ac:dyDescent="0.35">
      <c r="A4" s="12" t="s">
        <v>68</v>
      </c>
      <c r="B4" s="13"/>
      <c r="C4" s="13"/>
      <c r="D4" s="13"/>
      <c r="E4" s="13"/>
      <c r="F4" s="13"/>
      <c r="G4" s="13"/>
      <c r="H4" s="13"/>
      <c r="I4" s="13"/>
      <c r="J4" s="13"/>
      <c r="K4" s="13"/>
      <c r="L4" s="13"/>
      <c r="M4" s="14"/>
    </row>
    <row r="5" spans="1:13" x14ac:dyDescent="0.35">
      <c r="A5" s="12"/>
      <c r="B5" s="13"/>
      <c r="C5" s="13"/>
      <c r="D5" s="13"/>
      <c r="E5" s="13"/>
      <c r="F5" s="13"/>
      <c r="G5" s="13"/>
      <c r="H5" s="13"/>
      <c r="I5" s="13"/>
      <c r="J5" s="13"/>
      <c r="K5" s="13"/>
      <c r="L5" s="13"/>
      <c r="M5" s="14"/>
    </row>
    <row r="6" spans="1:13" x14ac:dyDescent="0.35">
      <c r="A6" s="12"/>
      <c r="B6" s="13"/>
      <c r="C6" s="13"/>
      <c r="D6" s="13"/>
      <c r="E6" s="13"/>
      <c r="F6" s="13"/>
      <c r="G6" s="13"/>
      <c r="H6" s="13"/>
      <c r="I6" s="13"/>
      <c r="J6" s="13"/>
      <c r="K6" s="13"/>
      <c r="L6" s="13"/>
      <c r="M6" s="14"/>
    </row>
    <row r="7" spans="1:13" x14ac:dyDescent="0.35">
      <c r="A7" s="6" t="s">
        <v>69</v>
      </c>
      <c r="B7" s="6" t="s">
        <v>70</v>
      </c>
      <c r="C7" s="6" t="s">
        <v>72</v>
      </c>
      <c r="D7" s="6" t="s">
        <v>71</v>
      </c>
      <c r="E7" s="6" t="s">
        <v>73</v>
      </c>
      <c r="F7" s="13"/>
      <c r="G7" s="13"/>
      <c r="H7" s="13"/>
      <c r="I7" s="13"/>
      <c r="J7" s="13"/>
      <c r="K7" s="13"/>
      <c r="L7" s="13"/>
      <c r="M7" s="14"/>
    </row>
    <row r="8" spans="1:13" x14ac:dyDescent="0.35">
      <c r="A8" s="6" t="s">
        <v>74</v>
      </c>
      <c r="B8" s="6" t="s">
        <v>83</v>
      </c>
      <c r="C8" s="6"/>
      <c r="D8" s="6" t="s">
        <v>91</v>
      </c>
      <c r="E8" s="6">
        <v>81</v>
      </c>
      <c r="F8" s="13"/>
      <c r="G8" s="13"/>
      <c r="H8" s="13"/>
      <c r="I8" s="13"/>
      <c r="J8" s="13"/>
      <c r="K8" s="13"/>
      <c r="L8" s="13"/>
      <c r="M8" s="14"/>
    </row>
    <row r="9" spans="1:13" x14ac:dyDescent="0.35">
      <c r="A9" s="6" t="s">
        <v>75</v>
      </c>
      <c r="B9" s="6" t="s">
        <v>84</v>
      </c>
      <c r="C9" s="6"/>
      <c r="D9" s="6" t="s">
        <v>91</v>
      </c>
      <c r="E9" s="6">
        <v>121</v>
      </c>
      <c r="F9" s="13"/>
      <c r="G9" s="13"/>
      <c r="H9" s="13"/>
      <c r="I9" s="13"/>
      <c r="J9" s="13"/>
      <c r="K9" s="13"/>
      <c r="L9" s="13"/>
      <c r="M9" s="14"/>
    </row>
    <row r="10" spans="1:13" x14ac:dyDescent="0.35">
      <c r="A10" s="6" t="s">
        <v>76</v>
      </c>
      <c r="B10" s="6" t="s">
        <v>85</v>
      </c>
      <c r="C10" s="6"/>
      <c r="D10" s="6" t="s">
        <v>92</v>
      </c>
      <c r="E10" s="6">
        <v>239</v>
      </c>
      <c r="F10" s="13"/>
      <c r="G10" s="13"/>
      <c r="H10" s="13"/>
      <c r="I10" s="13"/>
      <c r="J10" s="13"/>
      <c r="K10" s="13"/>
      <c r="L10" s="13"/>
      <c r="M10" s="14"/>
    </row>
    <row r="11" spans="1:13" x14ac:dyDescent="0.35">
      <c r="A11" s="6" t="s">
        <v>77</v>
      </c>
      <c r="B11" s="6" t="s">
        <v>86</v>
      </c>
      <c r="C11" s="6"/>
      <c r="D11" s="6" t="s">
        <v>91</v>
      </c>
      <c r="E11" s="6">
        <v>500</v>
      </c>
      <c r="F11" s="13"/>
      <c r="G11" s="13"/>
      <c r="H11" s="13"/>
      <c r="I11" s="13"/>
      <c r="J11" s="13"/>
      <c r="K11" s="13"/>
      <c r="L11" s="13"/>
      <c r="M11" s="14"/>
    </row>
    <row r="12" spans="1:13" x14ac:dyDescent="0.35">
      <c r="A12" s="6" t="s">
        <v>78</v>
      </c>
      <c r="B12" s="6" t="s">
        <v>87</v>
      </c>
      <c r="C12" s="6"/>
      <c r="D12" s="6" t="s">
        <v>93</v>
      </c>
      <c r="E12" s="6">
        <v>423</v>
      </c>
      <c r="F12" s="13"/>
      <c r="G12" s="13"/>
      <c r="H12" s="13"/>
      <c r="I12" s="13"/>
      <c r="J12" s="13"/>
      <c r="K12" s="13"/>
      <c r="L12" s="13"/>
      <c r="M12" s="14"/>
    </row>
    <row r="13" spans="1:13" x14ac:dyDescent="0.35">
      <c r="A13" s="6" t="s">
        <v>79</v>
      </c>
      <c r="B13" s="6" t="s">
        <v>88</v>
      </c>
      <c r="C13" s="6"/>
      <c r="D13" s="6" t="s">
        <v>91</v>
      </c>
      <c r="E13" s="6">
        <v>160</v>
      </c>
      <c r="F13" s="13"/>
      <c r="G13" s="13"/>
      <c r="H13" s="13"/>
      <c r="I13" s="13"/>
      <c r="J13" s="13"/>
      <c r="K13" s="13"/>
      <c r="L13" s="13"/>
      <c r="M13" s="14"/>
    </row>
    <row r="14" spans="1:13" x14ac:dyDescent="0.35">
      <c r="A14" s="6" t="s">
        <v>80</v>
      </c>
      <c r="B14" s="6" t="s">
        <v>89</v>
      </c>
      <c r="C14" s="6"/>
      <c r="D14" s="6" t="s">
        <v>91</v>
      </c>
      <c r="E14" s="6">
        <v>348</v>
      </c>
      <c r="F14" s="13"/>
      <c r="G14" s="13"/>
      <c r="H14" s="13"/>
      <c r="I14" s="13"/>
      <c r="J14" s="13"/>
      <c r="K14" s="13"/>
      <c r="L14" s="13"/>
      <c r="M14" s="14"/>
    </row>
    <row r="15" spans="1:13" x14ac:dyDescent="0.35">
      <c r="A15" s="6" t="s">
        <v>81</v>
      </c>
      <c r="B15" s="6" t="s">
        <v>89</v>
      </c>
      <c r="C15" s="6"/>
      <c r="D15" s="6" t="s">
        <v>91</v>
      </c>
      <c r="E15" s="6">
        <v>152</v>
      </c>
      <c r="F15" s="13"/>
      <c r="G15" s="13"/>
      <c r="H15" s="13"/>
      <c r="I15" s="13"/>
      <c r="J15" s="13"/>
      <c r="K15" s="13"/>
      <c r="L15" s="13"/>
      <c r="M15" s="14"/>
    </row>
    <row r="16" spans="1:13" x14ac:dyDescent="0.35">
      <c r="A16" s="6" t="s">
        <v>82</v>
      </c>
      <c r="B16" s="6" t="s">
        <v>90</v>
      </c>
      <c r="C16" s="6"/>
      <c r="D16" s="6" t="s">
        <v>94</v>
      </c>
      <c r="E16" s="6">
        <v>369</v>
      </c>
      <c r="F16" s="15"/>
      <c r="G16" s="15"/>
      <c r="H16" s="15"/>
      <c r="I16" s="15"/>
      <c r="J16" s="15"/>
      <c r="K16" s="15"/>
      <c r="L16" s="15"/>
      <c r="M16" s="16"/>
    </row>
    <row r="18" spans="1:16" x14ac:dyDescent="0.35">
      <c r="A18" s="27" t="s">
        <v>5</v>
      </c>
      <c r="B18" s="2"/>
      <c r="C18" s="2"/>
      <c r="D18" s="2"/>
      <c r="E18" s="2"/>
      <c r="F18" s="2"/>
      <c r="G18" s="2"/>
      <c r="H18" s="2"/>
      <c r="I18" s="2"/>
      <c r="J18" s="2"/>
      <c r="K18" s="2"/>
      <c r="L18" s="2"/>
      <c r="M18" s="2"/>
      <c r="N18" s="2"/>
      <c r="O18" s="2"/>
      <c r="P18" s="2"/>
    </row>
    <row r="19" spans="1:16" x14ac:dyDescent="0.35">
      <c r="A19" s="4" t="s">
        <v>69</v>
      </c>
      <c r="B19" s="4" t="s">
        <v>70</v>
      </c>
      <c r="C19" s="4" t="s">
        <v>72</v>
      </c>
      <c r="D19" s="4" t="s">
        <v>71</v>
      </c>
      <c r="E19" s="4" t="s">
        <v>73</v>
      </c>
      <c r="F19" s="2"/>
      <c r="G19" s="2"/>
      <c r="H19" s="2"/>
      <c r="I19" s="2"/>
      <c r="J19" s="2"/>
      <c r="K19" s="2"/>
      <c r="L19" s="2"/>
      <c r="M19" s="2"/>
      <c r="N19" s="2"/>
      <c r="O19" s="2"/>
      <c r="P19" s="2"/>
    </row>
    <row r="20" spans="1:16" x14ac:dyDescent="0.35">
      <c r="A20" s="4" t="s">
        <v>74</v>
      </c>
      <c r="B20" s="4" t="s">
        <v>83</v>
      </c>
      <c r="C20" s="4"/>
      <c r="D20" s="4" t="s">
        <v>91</v>
      </c>
      <c r="E20" s="4">
        <v>81</v>
      </c>
      <c r="F20" s="2"/>
      <c r="G20" s="2"/>
      <c r="H20" s="2"/>
      <c r="I20" s="2"/>
      <c r="J20" s="2"/>
      <c r="K20" s="2"/>
      <c r="L20" s="2"/>
      <c r="M20" s="2"/>
      <c r="N20" s="2"/>
      <c r="O20" s="2"/>
      <c r="P20" s="2"/>
    </row>
    <row r="21" spans="1:16" x14ac:dyDescent="0.35">
      <c r="A21" s="4" t="s">
        <v>75</v>
      </c>
      <c r="B21" s="4" t="s">
        <v>84</v>
      </c>
      <c r="C21" s="4"/>
      <c r="D21" s="4" t="s">
        <v>91</v>
      </c>
      <c r="E21" s="4">
        <v>121</v>
      </c>
      <c r="F21" s="2"/>
      <c r="G21" s="2"/>
      <c r="H21" s="2"/>
      <c r="I21" s="2"/>
      <c r="J21" s="2"/>
      <c r="K21" s="2"/>
      <c r="L21" s="2"/>
      <c r="M21" s="2"/>
      <c r="N21" s="2"/>
      <c r="O21" s="2"/>
      <c r="P21" s="2"/>
    </row>
    <row r="22" spans="1:16" x14ac:dyDescent="0.35">
      <c r="A22" s="4" t="s">
        <v>76</v>
      </c>
      <c r="B22" s="4" t="s">
        <v>85</v>
      </c>
      <c r="C22" s="4"/>
      <c r="D22" s="4" t="s">
        <v>92</v>
      </c>
      <c r="E22" s="4">
        <v>239</v>
      </c>
      <c r="F22" s="2"/>
      <c r="G22" s="2"/>
      <c r="H22" s="2"/>
      <c r="I22" s="2"/>
      <c r="J22" s="2"/>
      <c r="K22" s="2"/>
      <c r="L22" s="2"/>
      <c r="M22" s="2"/>
      <c r="N22" s="2"/>
      <c r="O22" s="2"/>
      <c r="P22" s="2"/>
    </row>
    <row r="23" spans="1:16" x14ac:dyDescent="0.35">
      <c r="A23" s="4" t="s">
        <v>77</v>
      </c>
      <c r="B23" s="4" t="s">
        <v>86</v>
      </c>
      <c r="C23" s="4"/>
      <c r="D23" s="4" t="s">
        <v>91</v>
      </c>
      <c r="E23" s="4">
        <v>500</v>
      </c>
      <c r="F23" s="2"/>
      <c r="G23" s="2"/>
      <c r="H23" s="2"/>
      <c r="I23" s="2"/>
      <c r="J23" s="2"/>
      <c r="K23" s="2"/>
      <c r="L23" s="2"/>
      <c r="M23" s="2"/>
      <c r="N23" s="2"/>
      <c r="O23" s="2"/>
      <c r="P23" s="2"/>
    </row>
    <row r="24" spans="1:16" x14ac:dyDescent="0.35">
      <c r="A24" s="4" t="s">
        <v>78</v>
      </c>
      <c r="B24" s="4" t="s">
        <v>87</v>
      </c>
      <c r="C24" s="4"/>
      <c r="D24" s="4" t="s">
        <v>93</v>
      </c>
      <c r="E24" s="4">
        <v>423</v>
      </c>
      <c r="F24" s="2"/>
      <c r="G24" s="2"/>
      <c r="H24" s="2"/>
      <c r="I24" s="2"/>
      <c r="J24" s="2"/>
      <c r="K24" s="2"/>
      <c r="L24" s="2"/>
      <c r="M24" s="2"/>
      <c r="N24" s="2"/>
      <c r="O24" s="2"/>
      <c r="P24" s="2"/>
    </row>
    <row r="25" spans="1:16" x14ac:dyDescent="0.35">
      <c r="A25" s="4" t="s">
        <v>79</v>
      </c>
      <c r="B25" s="4" t="s">
        <v>88</v>
      </c>
      <c r="C25" s="4"/>
      <c r="D25" s="4" t="s">
        <v>91</v>
      </c>
      <c r="E25" s="4">
        <v>160</v>
      </c>
      <c r="F25" s="2"/>
      <c r="G25" s="2"/>
      <c r="H25" s="2"/>
      <c r="I25" s="2"/>
      <c r="J25" s="2"/>
      <c r="K25" s="2"/>
      <c r="L25" s="2"/>
      <c r="M25" s="2"/>
      <c r="N25" s="2"/>
      <c r="O25" s="2"/>
      <c r="P25" s="2"/>
    </row>
    <row r="26" spans="1:16" x14ac:dyDescent="0.35">
      <c r="A26" s="4" t="s">
        <v>80</v>
      </c>
      <c r="B26" s="4" t="s">
        <v>89</v>
      </c>
      <c r="C26" s="4"/>
      <c r="D26" s="4" t="s">
        <v>91</v>
      </c>
      <c r="E26" s="4">
        <v>348</v>
      </c>
      <c r="F26" s="2"/>
      <c r="G26" s="2"/>
      <c r="H26" s="2"/>
      <c r="I26" s="2"/>
      <c r="J26" s="2"/>
      <c r="K26" s="2"/>
      <c r="L26" s="2"/>
      <c r="M26" s="2"/>
      <c r="N26" s="2"/>
      <c r="O26" s="2"/>
      <c r="P26" s="2"/>
    </row>
    <row r="27" spans="1:16" x14ac:dyDescent="0.35">
      <c r="A27" s="4" t="s">
        <v>81</v>
      </c>
      <c r="B27" s="4" t="s">
        <v>89</v>
      </c>
      <c r="C27" s="4"/>
      <c r="D27" s="4" t="s">
        <v>91</v>
      </c>
      <c r="E27" s="4">
        <v>152</v>
      </c>
      <c r="F27" s="2"/>
      <c r="G27" s="2"/>
      <c r="H27" s="2"/>
      <c r="I27" s="2"/>
      <c r="J27" s="2"/>
      <c r="K27" s="2"/>
      <c r="L27" s="2"/>
      <c r="M27" s="2"/>
      <c r="N27" s="2"/>
      <c r="O27" s="2"/>
      <c r="P27" s="2"/>
    </row>
    <row r="28" spans="1:16" x14ac:dyDescent="0.35">
      <c r="A28" s="4" t="s">
        <v>82</v>
      </c>
      <c r="B28" s="4" t="s">
        <v>90</v>
      </c>
      <c r="C28" s="4"/>
      <c r="D28" s="4" t="s">
        <v>94</v>
      </c>
      <c r="E28" s="4">
        <v>369</v>
      </c>
      <c r="F28" s="2"/>
      <c r="G28" s="2"/>
      <c r="H28" s="2"/>
      <c r="I28" s="2"/>
      <c r="J28" s="2"/>
      <c r="K28" s="2"/>
      <c r="L28" s="2"/>
      <c r="M28" s="2"/>
      <c r="N28" s="2"/>
      <c r="O28" s="2"/>
      <c r="P28" s="2"/>
    </row>
    <row r="29" spans="1:16" x14ac:dyDescent="0.35">
      <c r="A29" s="8" t="s">
        <v>96</v>
      </c>
      <c r="B29" s="2"/>
      <c r="C29" s="2"/>
      <c r="D29" s="2"/>
      <c r="E29" s="2"/>
      <c r="F29" s="2"/>
      <c r="G29" s="2"/>
      <c r="H29" s="2"/>
      <c r="I29" s="2"/>
      <c r="J29" s="2"/>
      <c r="K29" s="2"/>
      <c r="L29" s="2"/>
      <c r="M29" s="2"/>
      <c r="N29" s="2"/>
      <c r="O29" s="2"/>
      <c r="P29" s="2"/>
    </row>
    <row r="30" spans="1:16" x14ac:dyDescent="0.35">
      <c r="A30" s="8" t="s">
        <v>95</v>
      </c>
      <c r="B30" s="2"/>
      <c r="C30" s="2"/>
      <c r="D30" s="2"/>
      <c r="E30" s="2"/>
      <c r="F30" s="2"/>
      <c r="G30" s="2"/>
      <c r="H30" s="2"/>
      <c r="I30" s="2"/>
      <c r="J30" s="2"/>
      <c r="K30" s="2"/>
      <c r="L30" s="2"/>
      <c r="M30" s="2"/>
      <c r="N30" s="2"/>
      <c r="O30" s="2"/>
      <c r="P30" s="2"/>
    </row>
    <row r="31" spans="1:16" x14ac:dyDescent="0.35">
      <c r="A31" s="8" t="s">
        <v>97</v>
      </c>
      <c r="B31" s="2"/>
      <c r="C31" s="2"/>
      <c r="D31" s="2"/>
      <c r="E31" s="2"/>
      <c r="F31" s="2"/>
      <c r="G31" s="2"/>
      <c r="H31" s="2"/>
      <c r="I31" s="2"/>
      <c r="J31" s="2"/>
      <c r="K31" s="2"/>
      <c r="L31" s="2"/>
      <c r="M31" s="2"/>
      <c r="N31" s="2"/>
      <c r="O31" s="2"/>
      <c r="P31" s="2"/>
    </row>
  </sheetData>
  <dataValidations count="1">
    <dataValidation type="whole" allowBlank="1" showInputMessage="1" showErrorMessage="1" error="Invalid input! The quantity must be a whole number between 1 and 10._x000a__x000a_" prompt="Please enter a whole number between 1 and 10." sqref="C20:C28" xr:uid="{CF1C54C4-90CB-4589-8843-BE05F83E2E8A}">
      <formula1>1</formula1>
      <formula2>10</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09D56-8CC6-4AF7-AE68-BF9C347FBB93}">
  <dimension ref="A2:N30"/>
  <sheetViews>
    <sheetView topLeftCell="A16" workbookViewId="0">
      <selection activeCell="J27" sqref="J27"/>
    </sheetView>
  </sheetViews>
  <sheetFormatPr defaultRowHeight="14.5" x14ac:dyDescent="0.35"/>
  <cols>
    <col min="1" max="1" width="18.90625" customWidth="1"/>
  </cols>
  <sheetData>
    <row r="2" spans="1:14" x14ac:dyDescent="0.35">
      <c r="A2" s="1" t="s">
        <v>101</v>
      </c>
      <c r="B2" s="1"/>
      <c r="C2" s="1"/>
      <c r="D2" s="1"/>
      <c r="E2" s="1"/>
      <c r="F2" s="1"/>
      <c r="G2" s="1"/>
      <c r="H2" s="26"/>
      <c r="I2" s="26"/>
      <c r="J2" s="26"/>
      <c r="K2" s="26"/>
      <c r="L2" s="26"/>
      <c r="M2" s="26"/>
      <c r="N2" s="26"/>
    </row>
    <row r="3" spans="1:14" x14ac:dyDescent="0.35">
      <c r="H3" s="26"/>
      <c r="I3" s="26"/>
      <c r="J3" s="26"/>
      <c r="K3" s="26"/>
      <c r="L3" s="26"/>
      <c r="M3" s="26"/>
      <c r="N3" s="26"/>
    </row>
    <row r="4" spans="1:14" x14ac:dyDescent="0.35">
      <c r="A4" s="25" t="s">
        <v>5</v>
      </c>
      <c r="B4" s="2"/>
      <c r="C4" s="2"/>
      <c r="D4" s="2"/>
      <c r="E4" s="2"/>
      <c r="F4" s="2"/>
      <c r="G4" s="2"/>
      <c r="H4" s="2"/>
      <c r="I4" s="2"/>
      <c r="J4" s="2"/>
      <c r="K4" s="2"/>
      <c r="L4" s="2"/>
      <c r="M4" s="2"/>
      <c r="N4" s="2"/>
    </row>
    <row r="5" spans="1:14" x14ac:dyDescent="0.35">
      <c r="A5" s="1" t="s">
        <v>102</v>
      </c>
      <c r="B5" s="1"/>
      <c r="C5" s="1"/>
      <c r="D5" s="1"/>
      <c r="E5" s="1"/>
      <c r="F5" s="1"/>
      <c r="G5" s="1"/>
      <c r="H5" s="1"/>
      <c r="I5" s="2"/>
      <c r="J5" s="2"/>
      <c r="K5" s="2"/>
      <c r="L5" s="2"/>
      <c r="M5" s="2"/>
      <c r="N5" s="2"/>
    </row>
    <row r="6" spans="1:14" x14ac:dyDescent="0.35">
      <c r="A6" s="25" t="s">
        <v>35</v>
      </c>
      <c r="B6" s="2"/>
      <c r="C6" s="2"/>
      <c r="D6" s="2"/>
      <c r="E6" s="2"/>
      <c r="F6" s="2"/>
      <c r="G6" s="2"/>
      <c r="H6" s="2"/>
      <c r="I6" s="2"/>
      <c r="J6" s="2"/>
      <c r="K6" s="2"/>
      <c r="L6" s="2"/>
      <c r="M6" s="2"/>
      <c r="N6" s="2"/>
    </row>
    <row r="7" spans="1:14" x14ac:dyDescent="0.35">
      <c r="A7" s="2" t="s">
        <v>106</v>
      </c>
      <c r="B7" s="2"/>
      <c r="C7" s="2"/>
      <c r="D7" s="2"/>
      <c r="E7" s="2"/>
      <c r="F7" s="2"/>
      <c r="G7" s="2"/>
      <c r="H7" s="2"/>
      <c r="I7" s="2"/>
      <c r="J7" s="2"/>
      <c r="K7" s="2"/>
      <c r="L7" s="2"/>
      <c r="M7" s="2"/>
      <c r="N7" s="2"/>
    </row>
    <row r="8" spans="1:14" x14ac:dyDescent="0.35">
      <c r="A8" s="2" t="str">
        <f>LEFT(A7,5)</f>
        <v>Excel</v>
      </c>
      <c r="B8" s="2"/>
      <c r="C8" s="2"/>
      <c r="D8" s="2"/>
      <c r="E8" s="2"/>
      <c r="F8" s="2"/>
      <c r="G8" s="2"/>
      <c r="H8" s="2"/>
      <c r="I8" s="2"/>
      <c r="J8" s="2"/>
      <c r="K8" s="2"/>
      <c r="L8" s="2"/>
      <c r="M8" s="2"/>
      <c r="N8" s="2"/>
    </row>
    <row r="9" spans="1:14" x14ac:dyDescent="0.35">
      <c r="A9" s="2" t="s">
        <v>107</v>
      </c>
      <c r="B9" s="2"/>
      <c r="C9" s="2"/>
      <c r="D9" s="2"/>
      <c r="E9" s="2"/>
      <c r="F9" s="2"/>
      <c r="G9" s="2"/>
      <c r="H9" s="2"/>
      <c r="I9" s="2"/>
      <c r="J9" s="2"/>
      <c r="K9" s="2"/>
      <c r="L9" s="2"/>
      <c r="M9" s="2"/>
      <c r="N9" s="2"/>
    </row>
    <row r="10" spans="1:14" x14ac:dyDescent="0.35">
      <c r="A10" s="1" t="s">
        <v>103</v>
      </c>
      <c r="B10" s="1"/>
      <c r="C10" s="1"/>
      <c r="D10" s="1"/>
      <c r="E10" s="1"/>
      <c r="F10" s="1"/>
      <c r="G10" s="1"/>
      <c r="H10" s="1"/>
      <c r="I10" s="2"/>
      <c r="J10" s="2"/>
      <c r="K10" s="2"/>
      <c r="L10" s="2"/>
      <c r="M10" s="2"/>
      <c r="N10" s="2"/>
    </row>
    <row r="11" spans="1:14" x14ac:dyDescent="0.35">
      <c r="A11" s="25" t="s">
        <v>46</v>
      </c>
      <c r="B11" s="2"/>
      <c r="C11" s="2"/>
      <c r="D11" s="2"/>
      <c r="E11" s="2"/>
      <c r="F11" s="2"/>
      <c r="G11" s="2"/>
      <c r="H11" s="2"/>
      <c r="I11" s="2"/>
      <c r="J11" s="2"/>
      <c r="K11" s="2"/>
      <c r="L11" s="2"/>
      <c r="M11" s="2"/>
      <c r="N11" s="2"/>
    </row>
    <row r="12" spans="1:14" x14ac:dyDescent="0.35">
      <c r="A12" s="2" t="s">
        <v>106</v>
      </c>
      <c r="B12" s="2"/>
      <c r="C12" s="2"/>
      <c r="D12" s="2"/>
      <c r="E12" s="2"/>
      <c r="F12" s="2"/>
      <c r="G12" s="2"/>
      <c r="H12" s="2"/>
      <c r="I12" s="2"/>
      <c r="J12" s="2"/>
      <c r="K12" s="2"/>
      <c r="L12" s="2"/>
      <c r="M12" s="2"/>
      <c r="N12" s="2"/>
    </row>
    <row r="13" spans="1:14" x14ac:dyDescent="0.35">
      <c r="A13" s="2" t="str">
        <f>MID(A12,6,4)</f>
        <v>Tips</v>
      </c>
      <c r="B13" s="2"/>
      <c r="C13" s="2"/>
      <c r="D13" s="2"/>
      <c r="E13" s="2"/>
      <c r="F13" s="2"/>
      <c r="G13" s="2"/>
      <c r="H13" s="2"/>
      <c r="I13" s="2"/>
      <c r="J13" s="2"/>
      <c r="K13" s="2"/>
      <c r="L13" s="2"/>
      <c r="M13" s="2"/>
      <c r="N13" s="2"/>
    </row>
    <row r="14" spans="1:14" x14ac:dyDescent="0.35">
      <c r="A14" s="2" t="s">
        <v>111</v>
      </c>
      <c r="B14" s="2"/>
      <c r="C14" s="2"/>
      <c r="D14" s="2"/>
      <c r="E14" s="2"/>
      <c r="F14" s="2"/>
      <c r="G14" s="2"/>
      <c r="H14" s="2"/>
      <c r="I14" s="2"/>
      <c r="J14" s="2"/>
      <c r="K14" s="2"/>
      <c r="L14" s="2"/>
      <c r="M14" s="2"/>
      <c r="N14" s="2"/>
    </row>
    <row r="15" spans="1:14" x14ac:dyDescent="0.35">
      <c r="A15" s="1" t="s">
        <v>166</v>
      </c>
      <c r="B15" s="1"/>
      <c r="C15" s="1"/>
      <c r="D15" s="1"/>
      <c r="E15" s="1"/>
      <c r="F15" s="1"/>
      <c r="G15" s="1"/>
      <c r="H15" s="2"/>
      <c r="I15" s="2"/>
      <c r="J15" s="2"/>
      <c r="K15" s="2"/>
      <c r="L15" s="2"/>
      <c r="M15" s="2"/>
      <c r="N15" s="2"/>
    </row>
    <row r="16" spans="1:14" x14ac:dyDescent="0.35">
      <c r="A16" s="2" t="s">
        <v>167</v>
      </c>
      <c r="B16" s="2"/>
      <c r="C16" s="2"/>
      <c r="D16" s="2"/>
      <c r="E16" s="2"/>
      <c r="F16" s="2"/>
      <c r="G16" s="2"/>
      <c r="H16" s="2"/>
      <c r="I16" s="2"/>
      <c r="J16" s="2"/>
      <c r="K16" s="2"/>
      <c r="L16" s="2"/>
      <c r="M16" s="2"/>
      <c r="N16" s="2"/>
    </row>
    <row r="17" spans="1:14" x14ac:dyDescent="0.35">
      <c r="A17" s="2" t="str">
        <f>RIGHT(A16,4)</f>
        <v>xlsx</v>
      </c>
      <c r="B17" s="2"/>
      <c r="C17" s="2"/>
      <c r="D17" s="2"/>
      <c r="E17" s="2"/>
      <c r="F17" s="2"/>
      <c r="G17" s="2"/>
      <c r="H17" s="2"/>
      <c r="I17" s="2"/>
      <c r="J17" s="2"/>
      <c r="K17" s="2"/>
      <c r="L17" s="2"/>
      <c r="M17" s="2"/>
      <c r="N17" s="2"/>
    </row>
    <row r="18" spans="1:14" x14ac:dyDescent="0.35">
      <c r="A18" s="2" t="s">
        <v>168</v>
      </c>
      <c r="B18" s="2"/>
      <c r="C18" s="2"/>
      <c r="D18" s="2"/>
      <c r="E18" s="2"/>
      <c r="F18" s="2"/>
      <c r="G18" s="2"/>
      <c r="H18" s="2"/>
      <c r="I18" s="2"/>
      <c r="J18" s="2"/>
      <c r="K18" s="2"/>
      <c r="L18" s="2"/>
      <c r="M18" s="2"/>
      <c r="N18" s="2"/>
    </row>
    <row r="19" spans="1:14" x14ac:dyDescent="0.35">
      <c r="A19" s="2"/>
      <c r="B19" s="2"/>
      <c r="C19" s="2"/>
      <c r="D19" s="2"/>
      <c r="E19" s="2"/>
      <c r="F19" s="2"/>
      <c r="G19" s="2"/>
      <c r="H19" s="2"/>
      <c r="I19" s="2"/>
      <c r="J19" s="2"/>
      <c r="K19" s="2"/>
      <c r="L19" s="2"/>
      <c r="M19" s="2"/>
      <c r="N19" s="2"/>
    </row>
    <row r="20" spans="1:14" x14ac:dyDescent="0.35">
      <c r="A20" s="1" t="s">
        <v>104</v>
      </c>
      <c r="B20" s="1"/>
      <c r="C20" s="1"/>
      <c r="D20" s="1"/>
      <c r="E20" s="1"/>
      <c r="F20" s="1"/>
      <c r="G20" s="1"/>
      <c r="H20" s="1"/>
      <c r="I20" s="2"/>
      <c r="J20" s="2"/>
      <c r="K20" s="2"/>
      <c r="L20" s="2"/>
      <c r="M20" s="2"/>
      <c r="N20" s="2"/>
    </row>
    <row r="21" spans="1:14" x14ac:dyDescent="0.35">
      <c r="A21" s="25" t="s">
        <v>108</v>
      </c>
      <c r="B21" s="2"/>
      <c r="C21" s="2"/>
      <c r="D21" s="2"/>
      <c r="E21" s="2"/>
      <c r="F21" s="2"/>
      <c r="G21" s="2"/>
      <c r="H21" s="2"/>
      <c r="I21" s="2"/>
      <c r="J21" s="2"/>
      <c r="K21" s="2"/>
      <c r="L21" s="2"/>
      <c r="M21" s="2"/>
      <c r="N21" s="2"/>
    </row>
    <row r="22" spans="1:14" x14ac:dyDescent="0.35">
      <c r="A22" s="2" t="s">
        <v>109</v>
      </c>
      <c r="B22" s="2"/>
      <c r="C22" s="2"/>
      <c r="D22" s="2"/>
      <c r="E22" s="2"/>
      <c r="F22" s="2"/>
      <c r="G22" s="2"/>
      <c r="H22" s="2"/>
      <c r="I22" s="2"/>
      <c r="J22" s="2"/>
      <c r="K22" s="2"/>
      <c r="L22" s="2"/>
      <c r="M22" s="2"/>
      <c r="N22" s="2"/>
    </row>
    <row r="23" spans="1:14" x14ac:dyDescent="0.35">
      <c r="A23" s="2">
        <f>LEN(A22)</f>
        <v>12</v>
      </c>
      <c r="B23" s="2"/>
      <c r="C23" s="2"/>
      <c r="D23" s="2"/>
      <c r="E23" s="2"/>
      <c r="F23" s="2"/>
      <c r="G23" s="2"/>
      <c r="H23" s="2"/>
      <c r="I23" s="2"/>
      <c r="J23" s="2"/>
      <c r="K23" s="2"/>
      <c r="L23" s="2"/>
      <c r="M23" s="2"/>
      <c r="N23" s="2"/>
    </row>
    <row r="24" spans="1:14" x14ac:dyDescent="0.35">
      <c r="A24" s="2" t="s">
        <v>110</v>
      </c>
      <c r="B24" s="2"/>
      <c r="C24" s="2"/>
      <c r="D24" s="2"/>
      <c r="E24" s="2"/>
      <c r="F24" s="2"/>
      <c r="G24" s="2"/>
      <c r="H24" s="2"/>
      <c r="I24" s="2"/>
      <c r="J24" s="2"/>
      <c r="K24" s="2"/>
      <c r="L24" s="2"/>
      <c r="M24" s="2"/>
      <c r="N24" s="2"/>
    </row>
    <row r="25" spans="1:14" x14ac:dyDescent="0.35">
      <c r="A25" s="1" t="s">
        <v>105</v>
      </c>
      <c r="B25" s="1"/>
      <c r="C25" s="1"/>
      <c r="D25" s="1"/>
      <c r="E25" s="1"/>
      <c r="F25" s="1"/>
      <c r="G25" s="1"/>
      <c r="H25" s="2"/>
      <c r="I25" s="2"/>
      <c r="J25" s="2"/>
      <c r="K25" s="2"/>
      <c r="L25" s="2"/>
      <c r="M25" s="2"/>
      <c r="N25" s="2"/>
    </row>
    <row r="26" spans="1:14" x14ac:dyDescent="0.35">
      <c r="A26" s="25" t="s">
        <v>46</v>
      </c>
      <c r="B26" s="2"/>
      <c r="C26" s="2"/>
      <c r="D26" s="2"/>
      <c r="E26" s="2"/>
      <c r="F26" s="2"/>
      <c r="G26" s="2"/>
      <c r="H26" s="2"/>
      <c r="I26" s="2"/>
      <c r="J26" s="2"/>
      <c r="K26" s="2"/>
      <c r="L26" s="2"/>
      <c r="M26" s="2"/>
      <c r="N26" s="2"/>
    </row>
    <row r="27" spans="1:14" x14ac:dyDescent="0.35">
      <c r="A27" s="2" t="s">
        <v>112</v>
      </c>
      <c r="B27" s="2"/>
      <c r="C27" s="2"/>
      <c r="D27" s="2"/>
      <c r="E27" s="2"/>
      <c r="F27" s="2"/>
      <c r="G27" s="2"/>
      <c r="H27" s="2"/>
      <c r="I27" s="2"/>
      <c r="J27" s="2"/>
      <c r="K27" s="2"/>
      <c r="L27" s="2"/>
      <c r="M27" s="2"/>
      <c r="N27" s="2"/>
    </row>
    <row r="28" spans="1:14" x14ac:dyDescent="0.35">
      <c r="A28" s="2" t="str">
        <f>MID(A27,6,6)</f>
        <v>-67890</v>
      </c>
      <c r="B28" s="2"/>
      <c r="C28" s="2"/>
      <c r="D28" s="2"/>
      <c r="E28" s="2"/>
      <c r="F28" s="2"/>
      <c r="G28" s="2"/>
      <c r="H28" s="2"/>
      <c r="I28" s="2"/>
      <c r="J28" s="2"/>
      <c r="K28" s="2"/>
      <c r="L28" s="2"/>
      <c r="M28" s="2"/>
      <c r="N28" s="2"/>
    </row>
    <row r="29" spans="1:14" x14ac:dyDescent="0.35">
      <c r="A29" s="2" t="s">
        <v>113</v>
      </c>
      <c r="B29" s="2"/>
      <c r="C29" s="2"/>
      <c r="D29" s="2"/>
      <c r="E29" s="2"/>
      <c r="F29" s="2"/>
      <c r="G29" s="2"/>
      <c r="H29" s="2"/>
      <c r="I29" s="2"/>
      <c r="J29" s="2"/>
      <c r="K29" s="2"/>
      <c r="L29" s="2"/>
      <c r="M29" s="2"/>
      <c r="N29" s="2"/>
    </row>
    <row r="30" spans="1:14" x14ac:dyDescent="0.35">
      <c r="A30" s="2"/>
      <c r="B30" s="2"/>
      <c r="C30" s="2"/>
      <c r="D30" s="2"/>
      <c r="E30" s="2"/>
      <c r="F30" s="2"/>
      <c r="G30" s="2"/>
      <c r="H30" s="2"/>
      <c r="I30" s="2"/>
      <c r="J30" s="2"/>
      <c r="K30" s="2"/>
      <c r="L30" s="2"/>
      <c r="M30" s="2"/>
      <c r="N3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29F3B-6373-4FBD-BEC2-8277D9201BAD}">
  <dimension ref="A2:K21"/>
  <sheetViews>
    <sheetView workbookViewId="0">
      <selection activeCell="A18" sqref="A18"/>
    </sheetView>
  </sheetViews>
  <sheetFormatPr defaultRowHeight="14.5" x14ac:dyDescent="0.35"/>
  <cols>
    <col min="1" max="1" width="11.54296875" customWidth="1"/>
  </cols>
  <sheetData>
    <row r="2" spans="1:11" x14ac:dyDescent="0.35">
      <c r="A2" s="1" t="s">
        <v>114</v>
      </c>
      <c r="B2" s="1"/>
      <c r="C2" s="1"/>
      <c r="D2" s="1"/>
      <c r="E2" s="1"/>
      <c r="F2" s="1"/>
      <c r="G2" s="1"/>
      <c r="H2" s="1"/>
    </row>
    <row r="4" spans="1:11" x14ac:dyDescent="0.35">
      <c r="A4" s="25" t="s">
        <v>5</v>
      </c>
      <c r="B4" s="2"/>
      <c r="C4" s="2"/>
      <c r="D4" s="2"/>
      <c r="E4" s="2"/>
      <c r="F4" s="2"/>
      <c r="G4" s="2"/>
      <c r="H4" s="2"/>
      <c r="I4" s="2"/>
      <c r="J4" s="2"/>
      <c r="K4" s="2"/>
    </row>
    <row r="5" spans="1:11" x14ac:dyDescent="0.35">
      <c r="A5" s="1" t="s">
        <v>134</v>
      </c>
      <c r="B5" s="1"/>
      <c r="C5" s="1"/>
      <c r="D5" s="1"/>
      <c r="E5" s="1"/>
      <c r="F5" s="1"/>
      <c r="G5" s="1"/>
      <c r="H5" s="1"/>
    </row>
    <row r="6" spans="1:11" x14ac:dyDescent="0.35">
      <c r="A6" s="25" t="s">
        <v>49</v>
      </c>
      <c r="B6" s="2"/>
      <c r="C6" s="2"/>
      <c r="D6" s="2"/>
      <c r="E6" s="2"/>
      <c r="F6" s="2"/>
      <c r="G6" s="2"/>
      <c r="H6" s="2"/>
      <c r="I6" s="2"/>
      <c r="J6" s="2"/>
      <c r="K6" s="2"/>
    </row>
    <row r="7" spans="1:11" x14ac:dyDescent="0.35">
      <c r="A7" s="2" t="s">
        <v>115</v>
      </c>
      <c r="B7" s="2" t="s">
        <v>116</v>
      </c>
      <c r="C7" s="2"/>
      <c r="D7" s="2"/>
      <c r="E7" s="2"/>
      <c r="F7" s="2"/>
      <c r="G7" s="2"/>
      <c r="H7" s="2"/>
      <c r="I7" s="2"/>
      <c r="J7" s="2"/>
      <c r="K7" s="2"/>
    </row>
    <row r="8" spans="1:11" x14ac:dyDescent="0.35">
      <c r="A8" s="2" t="str">
        <f>_xlfn.CONCAT(A7," ",B7)</f>
        <v>Hello World</v>
      </c>
      <c r="B8" s="2"/>
      <c r="C8" s="2"/>
      <c r="D8" s="2"/>
      <c r="E8" s="2"/>
      <c r="F8" s="2"/>
      <c r="G8" s="2"/>
      <c r="H8" s="2"/>
      <c r="I8" s="2"/>
      <c r="J8" s="2"/>
      <c r="K8" s="2"/>
    </row>
    <row r="9" spans="1:11" x14ac:dyDescent="0.35">
      <c r="A9" s="2" t="s">
        <v>117</v>
      </c>
      <c r="B9" s="2"/>
      <c r="C9" s="2"/>
      <c r="D9" s="2"/>
      <c r="E9" s="2"/>
      <c r="F9" s="2"/>
      <c r="G9" s="2"/>
      <c r="H9" s="2"/>
      <c r="I9" s="2"/>
      <c r="J9" s="2"/>
      <c r="K9" s="2"/>
    </row>
    <row r="10" spans="1:11" x14ac:dyDescent="0.35">
      <c r="A10" s="2"/>
      <c r="B10" s="2"/>
      <c r="C10" s="2"/>
      <c r="D10" s="2"/>
      <c r="E10" s="2"/>
      <c r="F10" s="2"/>
      <c r="G10" s="2"/>
      <c r="H10" s="2"/>
      <c r="I10" s="2"/>
      <c r="J10" s="2"/>
      <c r="K10" s="2"/>
    </row>
    <row r="11" spans="1:11" x14ac:dyDescent="0.35">
      <c r="A11" s="1" t="s">
        <v>135</v>
      </c>
      <c r="B11" s="1"/>
      <c r="C11" s="1"/>
      <c r="D11" s="1"/>
      <c r="E11" s="1"/>
      <c r="F11" s="1"/>
      <c r="G11" s="1"/>
      <c r="H11" s="1"/>
      <c r="I11" s="1"/>
      <c r="J11" s="1"/>
    </row>
    <row r="12" spans="1:11" x14ac:dyDescent="0.35">
      <c r="A12" s="25" t="s">
        <v>122</v>
      </c>
      <c r="B12" s="2"/>
      <c r="C12" s="2"/>
      <c r="D12" s="2"/>
      <c r="E12" s="2"/>
      <c r="F12" s="2"/>
      <c r="G12" s="2"/>
      <c r="H12" s="2"/>
      <c r="I12" s="2"/>
      <c r="J12" s="2"/>
      <c r="K12" s="2"/>
    </row>
    <row r="13" spans="1:11" x14ac:dyDescent="0.35">
      <c r="A13" s="2" t="s">
        <v>118</v>
      </c>
      <c r="B13" s="2" t="s">
        <v>119</v>
      </c>
      <c r="C13" s="2" t="s">
        <v>120</v>
      </c>
      <c r="D13" s="2"/>
      <c r="E13" s="2"/>
      <c r="F13" s="2"/>
      <c r="G13" s="2"/>
      <c r="H13" s="2"/>
      <c r="I13" s="2"/>
      <c r="J13" s="2"/>
      <c r="K13" s="2"/>
    </row>
    <row r="14" spans="1:11" x14ac:dyDescent="0.35">
      <c r="A14" s="2" t="str">
        <f>_xlfn.TEXTJOIN(", ",TRUE, A13, B13, C13)</f>
        <v>Apple, Banana, Cherry</v>
      </c>
      <c r="B14" s="2"/>
      <c r="C14" s="2"/>
      <c r="D14" s="2"/>
      <c r="E14" s="2"/>
      <c r="F14" s="2"/>
      <c r="G14" s="2"/>
      <c r="H14" s="2"/>
      <c r="I14" s="2"/>
      <c r="J14" s="2"/>
      <c r="K14" s="2"/>
    </row>
    <row r="15" spans="1:11" x14ac:dyDescent="0.35">
      <c r="A15" s="2" t="s">
        <v>121</v>
      </c>
      <c r="B15" s="2"/>
      <c r="C15" s="2"/>
      <c r="D15" s="2"/>
      <c r="E15" s="2"/>
      <c r="F15" s="2"/>
      <c r="G15" s="2"/>
      <c r="H15" s="2"/>
      <c r="I15" s="2"/>
      <c r="J15" s="2"/>
      <c r="K15" s="2"/>
    </row>
    <row r="16" spans="1:11" x14ac:dyDescent="0.35">
      <c r="A16" s="2"/>
      <c r="B16" s="2"/>
      <c r="C16" s="2"/>
      <c r="D16" s="2"/>
      <c r="E16" s="2"/>
      <c r="F16" s="2"/>
      <c r="G16" s="2"/>
      <c r="H16" s="2"/>
      <c r="I16" s="2"/>
      <c r="J16" s="2"/>
      <c r="K16" s="2"/>
    </row>
    <row r="17" spans="1:11" x14ac:dyDescent="0.35">
      <c r="A17" s="1" t="s">
        <v>136</v>
      </c>
      <c r="B17" s="1"/>
      <c r="C17" s="1"/>
      <c r="D17" s="1"/>
      <c r="E17" s="1"/>
      <c r="F17" s="1"/>
      <c r="G17" s="1"/>
      <c r="H17" s="1"/>
      <c r="I17" s="1"/>
      <c r="J17" s="1"/>
      <c r="K17" s="1"/>
    </row>
    <row r="18" spans="1:11" x14ac:dyDescent="0.35">
      <c r="A18" s="25" t="s">
        <v>123</v>
      </c>
      <c r="B18" s="2"/>
      <c r="C18" s="2"/>
      <c r="D18" s="2"/>
      <c r="E18" s="2"/>
      <c r="F18" s="2"/>
      <c r="G18" s="2"/>
      <c r="H18" s="2"/>
      <c r="I18" s="2"/>
      <c r="J18" s="2"/>
      <c r="K18" s="2"/>
    </row>
    <row r="19" spans="1:11" x14ac:dyDescent="0.35">
      <c r="A19" s="2">
        <v>2025</v>
      </c>
      <c r="B19" s="2" t="s">
        <v>124</v>
      </c>
      <c r="C19" s="2" t="s">
        <v>125</v>
      </c>
      <c r="D19" s="2" t="s">
        <v>126</v>
      </c>
      <c r="E19" s="2"/>
      <c r="F19" s="2"/>
      <c r="G19" s="2"/>
      <c r="H19" s="2"/>
      <c r="I19" s="2"/>
      <c r="J19" s="2"/>
      <c r="K19" s="2"/>
    </row>
    <row r="20" spans="1:11" x14ac:dyDescent="0.35">
      <c r="A20" s="2" t="str">
        <f>A19&amp;" "&amp;B19&amp;" "&amp;C19&amp;" "&amp;D19</f>
        <v>2025 : Excel Functions</v>
      </c>
      <c r="B20" s="2"/>
      <c r="C20" s="2"/>
      <c r="D20" s="2"/>
      <c r="E20" s="2"/>
      <c r="F20" s="2"/>
      <c r="G20" s="2"/>
      <c r="H20" s="2"/>
      <c r="I20" s="2"/>
      <c r="J20" s="2"/>
      <c r="K20" s="2"/>
    </row>
    <row r="21" spans="1:11" x14ac:dyDescent="0.35">
      <c r="A21" s="2" t="s">
        <v>127</v>
      </c>
      <c r="B21" s="2"/>
      <c r="C21" s="2"/>
      <c r="D21" s="2"/>
      <c r="E21" s="2"/>
      <c r="F21" s="2"/>
      <c r="G21" s="2"/>
      <c r="H21" s="2"/>
      <c r="I21" s="2"/>
      <c r="J21" s="2"/>
      <c r="K21"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775AA-26D4-4930-A205-B449FCE3CEBE}">
  <dimension ref="A1:J14"/>
  <sheetViews>
    <sheetView workbookViewId="0">
      <selection activeCell="A11" sqref="A11"/>
    </sheetView>
  </sheetViews>
  <sheetFormatPr defaultRowHeight="14.5" x14ac:dyDescent="0.35"/>
  <cols>
    <col min="1" max="1" width="10.7265625" customWidth="1"/>
    <col min="2" max="2" width="10.08984375" customWidth="1"/>
    <col min="3" max="3" width="12.1796875" customWidth="1"/>
  </cols>
  <sheetData>
    <row r="1" spans="1:10" x14ac:dyDescent="0.35">
      <c r="A1" s="2" t="s">
        <v>128</v>
      </c>
      <c r="B1" s="2"/>
      <c r="C1" s="2"/>
      <c r="D1" s="2"/>
      <c r="E1" s="2"/>
      <c r="F1" s="2"/>
      <c r="G1" s="2"/>
      <c r="H1" s="2"/>
      <c r="I1" s="2"/>
    </row>
    <row r="2" spans="1:10" x14ac:dyDescent="0.35">
      <c r="A2" s="2" t="s">
        <v>129</v>
      </c>
      <c r="B2" s="1" t="s">
        <v>148</v>
      </c>
      <c r="C2" s="1"/>
      <c r="D2" s="1"/>
      <c r="E2" s="1"/>
      <c r="F2" s="1"/>
      <c r="G2" s="1"/>
      <c r="H2" s="1"/>
      <c r="I2" s="1"/>
    </row>
    <row r="3" spans="1:10" x14ac:dyDescent="0.35">
      <c r="A3" s="2" t="s">
        <v>131</v>
      </c>
      <c r="B3" s="2"/>
      <c r="C3" s="2"/>
      <c r="D3" s="2"/>
      <c r="E3" s="2"/>
      <c r="F3" s="2"/>
      <c r="G3" s="2"/>
      <c r="H3" s="2"/>
      <c r="I3" s="2"/>
    </row>
    <row r="4" spans="1:10" x14ac:dyDescent="0.35">
      <c r="A4" s="2" t="s">
        <v>130</v>
      </c>
      <c r="B4" s="2"/>
      <c r="C4" s="2"/>
      <c r="D4" s="2"/>
      <c r="E4" s="2"/>
      <c r="F4" s="2"/>
      <c r="G4" s="2"/>
      <c r="H4" s="2"/>
      <c r="I4" s="2"/>
    </row>
    <row r="5" spans="1:10" x14ac:dyDescent="0.35">
      <c r="A5" s="2" t="s">
        <v>132</v>
      </c>
      <c r="B5" s="2"/>
      <c r="C5" s="2"/>
      <c r="D5" s="2"/>
      <c r="E5" s="2"/>
      <c r="F5" s="2"/>
      <c r="G5" s="2"/>
      <c r="H5" s="2"/>
      <c r="I5" s="2"/>
    </row>
    <row r="6" spans="1:10" x14ac:dyDescent="0.35">
      <c r="A6" s="2" t="str">
        <f>_xlfn.TEXTJOIN(", ",TRUE,A1,A2,A3,A4,A5)</f>
        <v>Money, Really, Buys, Happiness, Enjoy it</v>
      </c>
      <c r="B6" s="2"/>
      <c r="C6" s="2"/>
      <c r="D6" s="2"/>
      <c r="E6" s="2"/>
      <c r="F6" s="2"/>
      <c r="G6" s="2"/>
      <c r="H6" s="2"/>
      <c r="I6" s="2"/>
    </row>
    <row r="7" spans="1:10" x14ac:dyDescent="0.35">
      <c r="A7" s="2"/>
      <c r="B7" s="2"/>
      <c r="C7" s="2"/>
      <c r="D7" s="2"/>
      <c r="E7" s="2"/>
      <c r="F7" s="2"/>
      <c r="G7" s="2"/>
      <c r="H7" s="2"/>
      <c r="I7" s="2"/>
    </row>
    <row r="8" spans="1:10" x14ac:dyDescent="0.35">
      <c r="A8" s="2" t="s">
        <v>133</v>
      </c>
      <c r="B8" s="2"/>
      <c r="C8" s="2"/>
      <c r="D8" s="2"/>
      <c r="E8" s="2"/>
      <c r="F8" s="2"/>
      <c r="G8" s="2"/>
      <c r="H8" s="2"/>
      <c r="I8" s="2"/>
    </row>
    <row r="10" spans="1:10" x14ac:dyDescent="0.35">
      <c r="A10" s="1" t="s">
        <v>149</v>
      </c>
      <c r="B10" s="1"/>
      <c r="C10" s="1"/>
      <c r="D10" s="1"/>
      <c r="E10" s="1"/>
      <c r="F10" s="1"/>
      <c r="G10" s="1"/>
      <c r="H10" s="1"/>
      <c r="I10" s="1"/>
      <c r="J10" s="1"/>
    </row>
    <row r="11" spans="1:10" x14ac:dyDescent="0.35">
      <c r="A11" s="2" t="s">
        <v>137</v>
      </c>
      <c r="B11" s="2" t="s">
        <v>138</v>
      </c>
      <c r="C11" s="2" t="s">
        <v>139</v>
      </c>
      <c r="D11" s="2"/>
      <c r="E11" s="2"/>
      <c r="F11" s="2"/>
      <c r="G11" s="2"/>
      <c r="H11" s="2"/>
      <c r="I11" s="2"/>
      <c r="J11" s="2"/>
    </row>
    <row r="12" spans="1:10" x14ac:dyDescent="0.35">
      <c r="A12" s="2" t="s">
        <v>140</v>
      </c>
      <c r="B12" s="2" t="s">
        <v>141</v>
      </c>
      <c r="C12" s="2" t="str">
        <f>_xlfn.TEXTJOIN(" ",TRUE,A12,B12)</f>
        <v>Nikith Kumar</v>
      </c>
      <c r="D12" s="7" t="s">
        <v>142</v>
      </c>
      <c r="E12" s="2"/>
      <c r="F12" s="2" t="s">
        <v>145</v>
      </c>
      <c r="G12" s="2"/>
      <c r="H12" s="2"/>
      <c r="I12" s="2"/>
      <c r="J12" s="2"/>
    </row>
    <row r="13" spans="1:10" x14ac:dyDescent="0.35">
      <c r="A13" s="2" t="s">
        <v>140</v>
      </c>
      <c r="B13" s="2" t="s">
        <v>141</v>
      </c>
      <c r="C13" s="2" t="str">
        <f>_xlfn.CONCAT(A13," ",B13)</f>
        <v>Nikith Kumar</v>
      </c>
      <c r="D13" s="7" t="s">
        <v>143</v>
      </c>
      <c r="E13" s="2"/>
      <c r="F13" s="2" t="s">
        <v>147</v>
      </c>
      <c r="G13" s="2"/>
      <c r="H13" s="2"/>
      <c r="I13" s="2"/>
      <c r="J13" s="2"/>
    </row>
    <row r="14" spans="1:10" x14ac:dyDescent="0.35">
      <c r="A14" s="2" t="s">
        <v>140</v>
      </c>
      <c r="B14" s="2" t="s">
        <v>141</v>
      </c>
      <c r="C14" s="2" t="str">
        <f>A14&amp;" "&amp;B14</f>
        <v>Nikith Kumar</v>
      </c>
      <c r="D14" s="7" t="s">
        <v>144</v>
      </c>
      <c r="E14" s="2"/>
      <c r="F14" s="2" t="s">
        <v>146</v>
      </c>
      <c r="G14" s="2"/>
      <c r="H14" s="2"/>
      <c r="I14" s="2"/>
      <c r="J14"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1CDA-CFE9-4F95-AE4A-8F82918B43C8}">
  <dimension ref="A1:Q31"/>
  <sheetViews>
    <sheetView workbookViewId="0">
      <selection activeCell="B32" sqref="B32"/>
    </sheetView>
  </sheetViews>
  <sheetFormatPr defaultRowHeight="14.5" x14ac:dyDescent="0.35"/>
  <cols>
    <col min="1" max="1" width="15.1796875" bestFit="1" customWidth="1"/>
  </cols>
  <sheetData>
    <row r="1" spans="1:14" x14ac:dyDescent="0.35">
      <c r="A1" s="1" t="s">
        <v>154</v>
      </c>
      <c r="B1" s="1"/>
      <c r="C1" s="1"/>
      <c r="D1" s="1"/>
      <c r="E1" s="1"/>
      <c r="F1" s="1"/>
      <c r="G1" s="1"/>
      <c r="H1" s="1"/>
      <c r="I1" s="1"/>
      <c r="J1" s="1"/>
      <c r="K1" s="1"/>
      <c r="L1" s="1"/>
    </row>
    <row r="2" spans="1:14" x14ac:dyDescent="0.35">
      <c r="A2" s="24" t="s">
        <v>5</v>
      </c>
    </row>
    <row r="3" spans="1:14" x14ac:dyDescent="0.35">
      <c r="A3" s="1" t="s">
        <v>153</v>
      </c>
      <c r="B3" s="1"/>
      <c r="C3" s="1"/>
      <c r="D3" s="1"/>
      <c r="E3" s="1"/>
      <c r="F3" s="1"/>
      <c r="G3" s="1"/>
      <c r="H3" s="1"/>
      <c r="I3" s="1"/>
      <c r="J3" s="1"/>
      <c r="K3" s="1"/>
      <c r="L3" s="1"/>
    </row>
    <row r="4" spans="1:14" x14ac:dyDescent="0.35">
      <c r="A4" s="25" t="s">
        <v>150</v>
      </c>
      <c r="B4" s="2"/>
      <c r="C4" s="2"/>
      <c r="D4" s="2"/>
      <c r="E4" s="2"/>
      <c r="F4" s="2"/>
      <c r="G4" s="2"/>
      <c r="H4" s="2"/>
      <c r="I4" s="2"/>
      <c r="J4" s="2"/>
      <c r="K4" s="2"/>
      <c r="L4" s="2"/>
      <c r="M4" s="2"/>
      <c r="N4" s="2"/>
    </row>
    <row r="5" spans="1:14" x14ac:dyDescent="0.35">
      <c r="A5" s="2" t="s">
        <v>151</v>
      </c>
      <c r="B5" s="2"/>
      <c r="C5" s="2"/>
      <c r="D5" s="2"/>
      <c r="E5" s="2"/>
      <c r="F5" s="2"/>
      <c r="G5" s="2"/>
      <c r="H5" s="2"/>
      <c r="I5" s="2"/>
      <c r="J5" s="2"/>
      <c r="K5" s="2"/>
      <c r="L5" s="2"/>
      <c r="M5" s="2"/>
      <c r="N5" s="2"/>
    </row>
    <row r="6" spans="1:14" x14ac:dyDescent="0.35">
      <c r="A6" s="28">
        <f ca="1">TODAY()</f>
        <v>46003</v>
      </c>
      <c r="B6" s="2"/>
      <c r="C6" s="2"/>
      <c r="D6" s="2"/>
      <c r="E6" s="2"/>
      <c r="F6" s="2"/>
      <c r="G6" s="2"/>
      <c r="H6" s="2"/>
      <c r="I6" s="2"/>
      <c r="J6" s="2"/>
      <c r="K6" s="2"/>
      <c r="L6" s="2"/>
      <c r="M6" s="2"/>
      <c r="N6" s="2"/>
    </row>
    <row r="7" spans="1:14" x14ac:dyDescent="0.35">
      <c r="A7" s="2"/>
      <c r="B7" s="2"/>
      <c r="C7" s="2"/>
      <c r="D7" s="2"/>
      <c r="E7" s="2"/>
      <c r="F7" s="2"/>
      <c r="G7" s="2"/>
      <c r="H7" s="2"/>
      <c r="I7" s="2"/>
      <c r="J7" s="2"/>
      <c r="K7" s="2"/>
      <c r="L7" s="2"/>
      <c r="M7" s="2"/>
      <c r="N7" s="2"/>
    </row>
    <row r="8" spans="1:14" x14ac:dyDescent="0.35">
      <c r="A8" s="25" t="s">
        <v>152</v>
      </c>
      <c r="B8" s="2"/>
      <c r="C8" s="2"/>
      <c r="D8" s="2"/>
      <c r="E8" s="2"/>
      <c r="F8" s="2"/>
      <c r="G8" s="2"/>
      <c r="H8" s="2"/>
      <c r="I8" s="2"/>
      <c r="J8" s="2"/>
      <c r="K8" s="2"/>
      <c r="L8" s="2"/>
      <c r="M8" s="2"/>
      <c r="N8" s="2"/>
    </row>
    <row r="9" spans="1:14" x14ac:dyDescent="0.35">
      <c r="A9" s="2" t="s">
        <v>155</v>
      </c>
      <c r="B9" s="2"/>
      <c r="C9" s="2"/>
      <c r="D9" s="2"/>
      <c r="E9" s="2"/>
      <c r="F9" s="2"/>
      <c r="G9" s="2"/>
      <c r="H9" s="2"/>
      <c r="I9" s="2"/>
      <c r="J9" s="2"/>
      <c r="K9" s="2"/>
      <c r="L9" s="2"/>
      <c r="M9" s="2"/>
      <c r="N9" s="2"/>
    </row>
    <row r="10" spans="1:14" x14ac:dyDescent="0.35">
      <c r="A10" s="29">
        <f ca="1">NOW()</f>
        <v>46003.948656712964</v>
      </c>
      <c r="B10" s="2"/>
      <c r="C10" s="2"/>
      <c r="D10" s="2"/>
      <c r="E10" s="2"/>
      <c r="F10" s="2"/>
      <c r="G10" s="2"/>
      <c r="H10" s="2"/>
      <c r="I10" s="2"/>
      <c r="J10" s="2"/>
      <c r="K10" s="2"/>
      <c r="L10" s="2"/>
      <c r="M10" s="2"/>
      <c r="N10" s="2"/>
    </row>
    <row r="11" spans="1:14" x14ac:dyDescent="0.35">
      <c r="A11" s="2" t="s">
        <v>156</v>
      </c>
      <c r="B11" s="2"/>
      <c r="C11" s="2"/>
      <c r="D11" s="2"/>
      <c r="E11" s="2"/>
      <c r="F11" s="2"/>
      <c r="G11" s="2"/>
      <c r="H11" s="2"/>
      <c r="I11" s="2"/>
      <c r="J11" s="2"/>
      <c r="K11" s="2"/>
      <c r="L11" s="2"/>
      <c r="M11" s="2"/>
      <c r="N11" s="2"/>
    </row>
    <row r="13" spans="1:14" x14ac:dyDescent="0.35">
      <c r="A13" s="1" t="s">
        <v>157</v>
      </c>
      <c r="B13" s="1"/>
      <c r="C13" s="1"/>
      <c r="D13" s="1"/>
      <c r="E13" s="1"/>
      <c r="F13" s="1"/>
      <c r="G13" s="1"/>
      <c r="H13" s="1"/>
      <c r="I13" s="1"/>
      <c r="J13" s="1"/>
      <c r="K13" s="1"/>
      <c r="L13" s="1"/>
    </row>
    <row r="14" spans="1:14" x14ac:dyDescent="0.35">
      <c r="A14" s="28">
        <v>45818</v>
      </c>
      <c r="B14" s="2"/>
      <c r="C14" s="2"/>
      <c r="D14" s="2"/>
      <c r="E14" s="2"/>
      <c r="F14" s="2"/>
      <c r="G14" s="2"/>
      <c r="H14" s="2"/>
      <c r="I14" s="2"/>
      <c r="J14" s="2"/>
      <c r="K14" s="2"/>
      <c r="L14" s="2"/>
      <c r="M14" s="2"/>
      <c r="N14" s="2"/>
    </row>
    <row r="15" spans="1:14" x14ac:dyDescent="0.35">
      <c r="A15" s="30">
        <f ca="1">A14-TODAY()</f>
        <v>-185</v>
      </c>
      <c r="B15" s="2"/>
      <c r="C15" s="2"/>
      <c r="D15" s="2"/>
      <c r="E15" s="2"/>
      <c r="F15" s="2"/>
      <c r="G15" s="2"/>
      <c r="H15" s="2"/>
      <c r="I15" s="2"/>
      <c r="J15" s="2"/>
      <c r="K15" s="2"/>
      <c r="L15" s="2"/>
      <c r="M15" s="2"/>
      <c r="N15" s="2"/>
    </row>
    <row r="16" spans="1:14" x14ac:dyDescent="0.35">
      <c r="A16" s="28" t="s">
        <v>158</v>
      </c>
      <c r="B16" s="2"/>
      <c r="C16" s="2"/>
      <c r="D16" s="2"/>
      <c r="E16" s="2"/>
      <c r="F16" s="2"/>
      <c r="G16" s="2"/>
      <c r="H16" s="2"/>
      <c r="I16" s="2"/>
      <c r="J16" s="2"/>
      <c r="K16" s="2"/>
      <c r="L16" s="2"/>
      <c r="M16" s="2"/>
      <c r="N16" s="2"/>
    </row>
    <row r="17" spans="1:17" x14ac:dyDescent="0.35">
      <c r="A17" s="2"/>
      <c r="B17" s="2"/>
      <c r="C17" s="2"/>
      <c r="D17" s="2"/>
      <c r="E17" s="2"/>
      <c r="F17" s="2"/>
      <c r="G17" s="2"/>
      <c r="H17" s="2"/>
      <c r="I17" s="2"/>
      <c r="J17" s="2"/>
      <c r="K17" s="2"/>
      <c r="L17" s="2"/>
      <c r="M17" s="2"/>
      <c r="N17" s="2"/>
    </row>
    <row r="18" spans="1:17" x14ac:dyDescent="0.35">
      <c r="A18" s="2"/>
      <c r="B18" s="2"/>
      <c r="C18" s="2"/>
      <c r="D18" s="2"/>
      <c r="E18" s="2"/>
      <c r="F18" s="2"/>
      <c r="G18" s="2"/>
      <c r="H18" s="2"/>
      <c r="I18" s="2"/>
      <c r="J18" s="2"/>
      <c r="K18" s="2"/>
      <c r="L18" s="2"/>
      <c r="M18" s="2"/>
      <c r="N18" s="2"/>
    </row>
    <row r="21" spans="1:17" x14ac:dyDescent="0.35">
      <c r="A21" s="1" t="s">
        <v>159</v>
      </c>
      <c r="B21" s="1"/>
      <c r="C21" s="1"/>
      <c r="D21" s="1"/>
      <c r="E21" s="1"/>
      <c r="F21" s="1"/>
      <c r="G21" s="1"/>
      <c r="H21" s="1"/>
      <c r="I21" s="1"/>
      <c r="J21" s="1"/>
      <c r="K21" s="1"/>
      <c r="L21" s="1"/>
    </row>
    <row r="22" spans="1:17" x14ac:dyDescent="0.35">
      <c r="A22" s="2" t="str">
        <f ca="1">TEXT(NOW(),"MM/DD/YYYY HH:MM AM/PM")</f>
        <v>12/12/2025 10:46 PM</v>
      </c>
      <c r="B22" s="2"/>
      <c r="C22" s="2"/>
      <c r="D22" s="2"/>
      <c r="E22" s="2"/>
      <c r="F22" s="2"/>
      <c r="G22" s="2"/>
      <c r="H22" s="2"/>
      <c r="I22" s="2"/>
      <c r="J22" s="2"/>
      <c r="K22" s="2"/>
      <c r="L22" s="2"/>
      <c r="M22" s="2"/>
      <c r="N22" s="2"/>
    </row>
    <row r="23" spans="1:17" x14ac:dyDescent="0.35">
      <c r="A23" s="29" t="s">
        <v>160</v>
      </c>
      <c r="B23" s="2"/>
      <c r="C23" s="2"/>
      <c r="D23" s="2"/>
      <c r="E23" s="2"/>
      <c r="F23" s="2"/>
      <c r="G23" s="2"/>
      <c r="H23" s="2"/>
      <c r="I23" s="2"/>
      <c r="J23" s="2"/>
      <c r="K23" s="2"/>
      <c r="L23" s="2"/>
      <c r="M23" s="2"/>
      <c r="N23" s="2"/>
    </row>
    <row r="24" spans="1:17" x14ac:dyDescent="0.35">
      <c r="A24" s="2" t="s">
        <v>161</v>
      </c>
      <c r="B24" s="2"/>
      <c r="C24" s="2"/>
      <c r="D24" s="2"/>
      <c r="E24" s="2"/>
      <c r="F24" s="2"/>
      <c r="G24" s="2"/>
      <c r="H24" s="2"/>
      <c r="I24" s="2"/>
      <c r="J24" s="2"/>
      <c r="K24" s="2"/>
      <c r="L24" s="2"/>
      <c r="M24" s="2"/>
      <c r="N24" s="2"/>
    </row>
    <row r="25" spans="1:17" x14ac:dyDescent="0.35">
      <c r="A25" s="2"/>
      <c r="B25" s="2"/>
      <c r="C25" s="2"/>
      <c r="D25" s="2"/>
      <c r="E25" s="2"/>
      <c r="F25" s="2"/>
      <c r="G25" s="2"/>
      <c r="H25" s="2"/>
      <c r="I25" s="2"/>
      <c r="J25" s="2"/>
      <c r="K25" s="2"/>
      <c r="L25" s="2"/>
      <c r="M25" s="2"/>
      <c r="N25" s="2"/>
    </row>
    <row r="27" spans="1:17" x14ac:dyDescent="0.35">
      <c r="A27" s="1" t="s">
        <v>162</v>
      </c>
      <c r="B27" s="1"/>
      <c r="C27" s="1"/>
      <c r="D27" s="1"/>
      <c r="E27" s="1"/>
      <c r="F27" s="1"/>
      <c r="G27" s="1"/>
      <c r="H27" s="1"/>
      <c r="I27" s="1"/>
    </row>
    <row r="28" spans="1:17" x14ac:dyDescent="0.35">
      <c r="A28" s="2" t="s">
        <v>163</v>
      </c>
      <c r="B28" s="2"/>
      <c r="C28" s="2"/>
      <c r="D28" s="2"/>
      <c r="E28" s="2"/>
      <c r="F28" s="2"/>
      <c r="G28" s="2"/>
      <c r="H28" s="2"/>
      <c r="I28" s="2"/>
      <c r="J28" s="2"/>
      <c r="K28" s="2"/>
      <c r="L28" s="2"/>
      <c r="M28" s="2"/>
      <c r="N28" s="2"/>
      <c r="O28" s="2"/>
      <c r="P28" s="2"/>
      <c r="Q28" s="2"/>
    </row>
    <row r="30" spans="1:17" x14ac:dyDescent="0.35">
      <c r="A30" s="1" t="s">
        <v>164</v>
      </c>
      <c r="B30" s="1"/>
      <c r="C30" s="1"/>
      <c r="D30" s="1"/>
      <c r="E30" s="1"/>
      <c r="F30" s="1"/>
      <c r="G30" s="1"/>
      <c r="H30" s="1"/>
      <c r="I30" s="1"/>
      <c r="J30" s="1"/>
      <c r="K30" s="1"/>
      <c r="L30" s="1"/>
    </row>
    <row r="31" spans="1:17" x14ac:dyDescent="0.35">
      <c r="A31" s="2" t="s">
        <v>165</v>
      </c>
      <c r="B31" s="2"/>
      <c r="C31" s="2"/>
      <c r="D31" s="2"/>
      <c r="E31" s="2"/>
      <c r="F31" s="2"/>
      <c r="G31" s="2"/>
      <c r="H31" s="2"/>
      <c r="I31" s="2"/>
      <c r="J31" s="2"/>
      <c r="K31" s="2"/>
      <c r="L3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QUESTION 1</vt:lpstr>
      <vt:lpstr>QUESTION 2</vt:lpstr>
      <vt:lpstr>QUESTION 3</vt:lpstr>
      <vt:lpstr>QUESTION 4</vt:lpstr>
      <vt:lpstr>QUESTION 5</vt:lpstr>
      <vt:lpstr>QUESTION 6</vt:lpstr>
      <vt:lpstr>QUESTION 7</vt:lpstr>
      <vt:lpstr>QUESTION 7d,e</vt:lpstr>
      <vt:lpstr>Question 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Janith a</dc:creator>
  <cp:lastModifiedBy>Janith a</cp:lastModifiedBy>
  <dcterms:created xsi:type="dcterms:W3CDTF">2025-07-21T09:59:32Z</dcterms:created>
  <dcterms:modified xsi:type="dcterms:W3CDTF">2025-12-12T17:16:08Z</dcterms:modified>
</cp:coreProperties>
</file>