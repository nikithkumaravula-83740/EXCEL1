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XCEL PRACTICE\ASSIGNMENTS\"/>
    </mc:Choice>
  </mc:AlternateContent>
  <xr:revisionPtr revIDLastSave="0" documentId="13_ncr:1_{645251C6-ACA8-46F8-A4AE-D0AD64BB2152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9" l="1"/>
  <c r="A9" i="7"/>
  <c r="D14" i="6"/>
  <c r="D12" i="6"/>
  <c r="D13" i="6"/>
  <c r="D13" i="5"/>
  <c r="E11" i="4"/>
  <c r="C13" i="3"/>
  <c r="C14" i="3"/>
  <c r="C15" i="3"/>
  <c r="C16" i="3"/>
  <c r="C12" i="3"/>
  <c r="D11" i="2"/>
  <c r="D12" i="2"/>
  <c r="D13" i="2"/>
  <c r="D10" i="2"/>
  <c r="C13" i="1"/>
  <c r="C14" i="1"/>
  <c r="C15" i="1"/>
  <c r="C16" i="1"/>
  <c r="C12" i="1"/>
</calcChain>
</file>

<file path=xl/sharedStrings.xml><?xml version="1.0" encoding="utf-8"?>
<sst xmlns="http://schemas.openxmlformats.org/spreadsheetml/2006/main" count="143" uniqueCount="79">
  <si>
    <t>1.Write a formula to check if the marks in cell B2 are greater than or equal to 40. If yes, return "Pass" otherwise "Fail".</t>
  </si>
  <si>
    <t>Student Name</t>
  </si>
  <si>
    <t>Marks</t>
  </si>
  <si>
    <t>Riya</t>
  </si>
  <si>
    <t>Siya</t>
  </si>
  <si>
    <t>Raju</t>
  </si>
  <si>
    <t>Rahul</t>
  </si>
  <si>
    <t>Ram</t>
  </si>
  <si>
    <t>Ans.</t>
  </si>
  <si>
    <t>Result</t>
  </si>
  <si>
    <t>2.A company gives a bonus  if sales are above 40,000 and attendance is greater than or equal to 90%. Write a 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</si>
  <si>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</si>
  <si>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</si>
  <si>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</si>
  <si>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</si>
  <si>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</si>
  <si>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</si>
  <si>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</si>
  <si>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Eligibility</t>
  </si>
  <si>
    <t>Formula:"=IF($B12&gt;=40,"Pass","Fail")"</t>
  </si>
  <si>
    <t>Formula:("=IF(AND($B10&gt;40000,$C10&gt;90),"Eligible","Not Eligible")"</t>
  </si>
  <si>
    <t>3.Write a nested IF formula:</t>
  </si>
  <si>
    <r>
      <t xml:space="preserve">If marks in B2 are  ≥ 90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"A", ≥ 75 → "B", ≥ 50 → "C", otherwise "Fail".</t>
    </r>
  </si>
  <si>
    <t>Raj</t>
  </si>
  <si>
    <t>Neha</t>
  </si>
  <si>
    <t>Vivek</t>
  </si>
  <si>
    <t>Rani</t>
  </si>
  <si>
    <t>Sneha</t>
  </si>
  <si>
    <t>Grade</t>
  </si>
  <si>
    <t>Formula:"=IF($B12&gt;=90,"A",IF($B12&gt;=75,"B",IF($B12&gt;=50,"C","Fail")))"</t>
  </si>
  <si>
    <t>4.Find the Department of Employee ID = E103. Also explain which LOOKUP function is used and why?</t>
  </si>
  <si>
    <t>Emp ID</t>
  </si>
  <si>
    <t>Department</t>
  </si>
  <si>
    <t>Name</t>
  </si>
  <si>
    <t>E101</t>
  </si>
  <si>
    <t>E102</t>
  </si>
  <si>
    <t>E103</t>
  </si>
  <si>
    <t>E104</t>
  </si>
  <si>
    <t>Roshini</t>
  </si>
  <si>
    <t>Sejal</t>
  </si>
  <si>
    <t>IT</t>
  </si>
  <si>
    <t>HR</t>
  </si>
  <si>
    <t>FINANCE</t>
  </si>
  <si>
    <t>SALES</t>
  </si>
  <si>
    <t>Formula:"=VLOOKUP($A12,$A&amp;9:$C$13,3,FALSE)</t>
  </si>
  <si>
    <t>We should use "VLOOKUP" here because in table employee id is in first column and we also want department</t>
  </si>
  <si>
    <t>of  E103 ROW so when we use "VLOOKUP" and give full table as source it scans all the table and in formula we will</t>
  </si>
  <si>
    <t xml:space="preserve">be giving column index number as 3 so it goes through every thing in the 3 coulmn in the table and gives result </t>
  </si>
  <si>
    <t>as "Finance". And for "VLOOKUP" if we are giving input it should be in the first column only or else there will be error.</t>
  </si>
  <si>
    <t>5.A company has set the following commission structure for its sales team:</t>
  </si>
  <si>
    <t>Sales Amount</t>
  </si>
  <si>
    <t>Commission Rate</t>
  </si>
  <si>
    <t>If a salesperson achieves sales of ₹45,000, use the VLOOKUP function to determine the commission rate applicable..</t>
  </si>
  <si>
    <t>Formula:"=VLOOKUP(45000,$A$11:$B$15,2,TRUE)"</t>
  </si>
  <si>
    <t>And the resullt of "%" value will be always given in decimals so we should change by using formating cell.</t>
  </si>
  <si>
    <t>6.The HR department maintains the following leave records of employees:onus or not .</t>
  </si>
  <si>
    <t>Employee Name</t>
  </si>
  <si>
    <t>Leaves Taken</t>
  </si>
  <si>
    <t>Leaves Allowed</t>
  </si>
  <si>
    <t>Alex</t>
  </si>
  <si>
    <t>Bob</t>
  </si>
  <si>
    <t>Anna</t>
  </si>
  <si>
    <t>Write an IF function to check whether an employee has Exceeded their allowed leave balance.</t>
  </si>
  <si>
    <t>If Leaves Taken &gt; Allowed Leaves, display "Exceeded".</t>
  </si>
  <si>
    <t>Otherwise, display "OK".</t>
  </si>
  <si>
    <t>Leave Balance</t>
  </si>
  <si>
    <t>Formula:"=IF($B12&lt;$C12,"OK","Exceeded")"</t>
  </si>
  <si>
    <t>7.Find the salary of EmpID = E105 using INDEX-MATCH Function.</t>
  </si>
  <si>
    <t>EmpID</t>
  </si>
  <si>
    <t>Salary</t>
  </si>
  <si>
    <t>E105</t>
  </si>
  <si>
    <t>E106</t>
  </si>
  <si>
    <t>Formula:"=INDEX($A$2:$B$6,3,2)"</t>
  </si>
  <si>
    <t>8.Use the XLOOKUP function to find the Department of the employee with Emp ID = E303</t>
  </si>
  <si>
    <t>E303</t>
  </si>
  <si>
    <t>E301</t>
  </si>
  <si>
    <t>Finance</t>
  </si>
  <si>
    <t>Formula:"=XLOOKUP($A4,$A$2:$A$6,$B$2:$B$6)"</t>
  </si>
  <si>
    <t>Here we should be using approximate match because we don’t have exact value here so it takes input and checks which criteria it belongs to and gives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</si>
</sst>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0" xfId="0" applyFont="1" applyFill="1"/>
    <xf numFmtId="0" fontId="0" fillId="3" borderId="0" xfId="0" applyFill="1"/>
    <xf numFmtId="0" fontId="0" fillId="3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9" fontId="0" fillId="2" borderId="1" xfId="0" applyNumberFormat="1" applyFill="1" applyBorder="1"/>
    <xf numFmtId="9" fontId="0" fillId="3" borderId="1" xfId="0" applyNumberFormat="1" applyFill="1" applyBorder="1"/>
    <xf numFmtId="10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activeCell="M6" sqref="M6"/>
    </sheetView>
  </sheetViews>
  <sheetFormatPr defaultRowHeight="14.5" x14ac:dyDescent="0.35"/>
  <cols>
    <col min="1" max="1" width="13.6328125" customWidth="1"/>
  </cols>
  <sheetData>
    <row r="1" spans="1:1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6" t="s">
        <v>1</v>
      </c>
      <c r="B2" s="6" t="s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2" t="s">
        <v>3</v>
      </c>
      <c r="B3" s="2">
        <v>45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2" t="s">
        <v>4</v>
      </c>
      <c r="B4" s="2">
        <v>72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35">
      <c r="A5" s="2" t="s">
        <v>5</v>
      </c>
      <c r="B5" s="2">
        <v>55</v>
      </c>
      <c r="C5" s="1"/>
      <c r="D5" s="1"/>
      <c r="E5" s="1"/>
      <c r="F5" s="1"/>
      <c r="G5" s="1"/>
      <c r="H5" s="1"/>
      <c r="I5" s="1"/>
      <c r="J5" s="1"/>
      <c r="K5" s="1"/>
    </row>
    <row r="6" spans="1:11" x14ac:dyDescent="0.35">
      <c r="A6" s="2" t="s">
        <v>6</v>
      </c>
      <c r="B6" s="2">
        <v>80</v>
      </c>
      <c r="C6" s="1"/>
      <c r="D6" s="1"/>
      <c r="E6" s="1"/>
      <c r="F6" s="1"/>
      <c r="G6" s="1"/>
      <c r="H6" s="1"/>
      <c r="I6" s="1"/>
      <c r="J6" s="1"/>
      <c r="K6" s="1"/>
    </row>
    <row r="7" spans="1:11" x14ac:dyDescent="0.35">
      <c r="A7" s="2" t="s">
        <v>7</v>
      </c>
      <c r="B7" s="2">
        <v>30</v>
      </c>
      <c r="C7" s="1"/>
      <c r="D7" s="1"/>
      <c r="E7" s="1"/>
      <c r="F7" s="1"/>
      <c r="G7" s="1"/>
      <c r="H7" s="1"/>
      <c r="I7" s="1"/>
      <c r="J7" s="1"/>
      <c r="K7" s="1"/>
    </row>
    <row r="10" spans="1:11" x14ac:dyDescent="0.35">
      <c r="A10" s="3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35">
      <c r="A11" s="7" t="s">
        <v>1</v>
      </c>
      <c r="B11" s="7" t="s">
        <v>2</v>
      </c>
      <c r="C11" s="7" t="s">
        <v>9</v>
      </c>
      <c r="D11" s="4"/>
      <c r="E11" s="4"/>
      <c r="F11" s="4"/>
      <c r="G11" s="4"/>
      <c r="H11" s="4"/>
      <c r="I11" s="4"/>
      <c r="J11" s="4"/>
      <c r="K11" s="4"/>
    </row>
    <row r="12" spans="1:11" x14ac:dyDescent="0.35">
      <c r="A12" s="5" t="s">
        <v>3</v>
      </c>
      <c r="B12" s="5">
        <v>45</v>
      </c>
      <c r="C12" s="5" t="str">
        <f>IF($B12&gt;=40,"Pass","Fail")</f>
        <v>Pass</v>
      </c>
      <c r="D12" s="4" t="s">
        <v>19</v>
      </c>
      <c r="E12" s="4"/>
      <c r="F12" s="4"/>
      <c r="G12" s="4"/>
      <c r="H12" s="4"/>
      <c r="I12" s="4"/>
      <c r="J12" s="4"/>
      <c r="K12" s="4"/>
    </row>
    <row r="13" spans="1:11" x14ac:dyDescent="0.35">
      <c r="A13" s="5" t="s">
        <v>4</v>
      </c>
      <c r="B13" s="5">
        <v>72</v>
      </c>
      <c r="C13" s="5" t="str">
        <f t="shared" ref="C13:C16" si="0">IF($B13&gt;=40,"Pass","Fail")</f>
        <v>Pass</v>
      </c>
      <c r="D13" s="4"/>
      <c r="E13" s="4"/>
      <c r="F13" s="4"/>
      <c r="G13" s="4"/>
      <c r="H13" s="4"/>
      <c r="I13" s="4"/>
      <c r="J13" s="4"/>
      <c r="K13" s="4"/>
    </row>
    <row r="14" spans="1:11" x14ac:dyDescent="0.35">
      <c r="A14" s="5" t="s">
        <v>5</v>
      </c>
      <c r="B14" s="5">
        <v>55</v>
      </c>
      <c r="C14" s="5" t="str">
        <f t="shared" si="0"/>
        <v>Pass</v>
      </c>
      <c r="D14" s="4"/>
      <c r="E14" s="4"/>
      <c r="F14" s="4"/>
      <c r="G14" s="4"/>
      <c r="H14" s="4"/>
      <c r="I14" s="4"/>
      <c r="J14" s="4"/>
      <c r="K14" s="4"/>
    </row>
    <row r="15" spans="1:11" x14ac:dyDescent="0.35">
      <c r="A15" s="5" t="s">
        <v>6</v>
      </c>
      <c r="B15" s="5">
        <v>80</v>
      </c>
      <c r="C15" s="5" t="str">
        <f t="shared" si="0"/>
        <v>Pass</v>
      </c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s="5" t="s">
        <v>7</v>
      </c>
      <c r="B16" s="5">
        <v>30</v>
      </c>
      <c r="C16" s="5" t="str">
        <f t="shared" si="0"/>
        <v>Fail</v>
      </c>
      <c r="D16" s="4"/>
      <c r="E16" s="4"/>
      <c r="F16" s="4"/>
      <c r="G16" s="4"/>
      <c r="H16" s="4"/>
      <c r="I16" s="4"/>
      <c r="J16" s="4"/>
      <c r="K16" s="4"/>
    </row>
    <row r="17" spans="1:1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E071-518E-48F4-BC6F-A5229109E112}">
  <dimension ref="A1:Q14"/>
  <sheetViews>
    <sheetView workbookViewId="0">
      <selection activeCell="C17" sqref="C17"/>
    </sheetView>
  </sheetViews>
  <sheetFormatPr defaultRowHeight="14.5" x14ac:dyDescent="0.35"/>
  <cols>
    <col min="1" max="1" width="9.90625" customWidth="1"/>
    <col min="3" max="3" width="10.7265625" customWidth="1"/>
    <col min="4" max="4" width="10.90625" customWidth="1"/>
  </cols>
  <sheetData>
    <row r="1" spans="1:17" x14ac:dyDescent="0.3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5">
      <c r="A2" s="6" t="s">
        <v>11</v>
      </c>
      <c r="B2" s="6" t="s">
        <v>12</v>
      </c>
      <c r="C2" s="6" t="s">
        <v>13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5">
      <c r="A3" s="2" t="s">
        <v>14</v>
      </c>
      <c r="B3" s="2">
        <v>55000</v>
      </c>
      <c r="C3" s="2">
        <v>95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5">
      <c r="A4" s="2" t="s">
        <v>15</v>
      </c>
      <c r="B4" s="2">
        <v>65000</v>
      </c>
      <c r="C4" s="2">
        <v>85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5">
      <c r="A5" s="2" t="s">
        <v>16</v>
      </c>
      <c r="B5" s="2">
        <v>30000</v>
      </c>
      <c r="C5" s="2">
        <v>90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35">
      <c r="A6" s="2" t="s">
        <v>17</v>
      </c>
      <c r="B6" s="2">
        <v>25000</v>
      </c>
      <c r="C6" s="2">
        <v>65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8" spans="1:17" x14ac:dyDescent="0.35">
      <c r="A8" s="3" t="s">
        <v>8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7" x14ac:dyDescent="0.35">
      <c r="A9" s="7" t="s">
        <v>11</v>
      </c>
      <c r="B9" s="7" t="s">
        <v>12</v>
      </c>
      <c r="C9" s="7" t="s">
        <v>13</v>
      </c>
      <c r="D9" s="7" t="s">
        <v>18</v>
      </c>
      <c r="E9" s="4"/>
      <c r="F9" s="4"/>
      <c r="G9" s="4"/>
      <c r="H9" s="4"/>
      <c r="I9" s="4"/>
      <c r="J9" s="4"/>
      <c r="K9" s="4"/>
    </row>
    <row r="10" spans="1:17" x14ac:dyDescent="0.35">
      <c r="A10" s="5" t="s">
        <v>14</v>
      </c>
      <c r="B10" s="5">
        <v>55000</v>
      </c>
      <c r="C10" s="5">
        <v>95</v>
      </c>
      <c r="D10" s="5" t="str">
        <f>IF(AND($B10&gt;40000,$C10&gt;90),"Eligible","Not Eligible")</f>
        <v>Eligible</v>
      </c>
      <c r="E10" s="4" t="s">
        <v>20</v>
      </c>
      <c r="F10" s="4"/>
      <c r="G10" s="4"/>
      <c r="H10" s="4"/>
      <c r="I10" s="4"/>
      <c r="J10" s="4"/>
      <c r="K10" s="4"/>
    </row>
    <row r="11" spans="1:17" x14ac:dyDescent="0.35">
      <c r="A11" s="5" t="s">
        <v>15</v>
      </c>
      <c r="B11" s="5">
        <v>65000</v>
      </c>
      <c r="C11" s="5">
        <v>85</v>
      </c>
      <c r="D11" s="5" t="str">
        <f t="shared" ref="D11:D13" si="0">IF(AND($B11&gt;40000,$C11&gt;90),"Eligible","Not Eligible")</f>
        <v>Not Eligible</v>
      </c>
      <c r="E11" s="4"/>
      <c r="F11" s="4"/>
      <c r="G11" s="4"/>
      <c r="H11" s="4"/>
      <c r="I11" s="4"/>
      <c r="J11" s="4"/>
      <c r="K11" s="4"/>
    </row>
    <row r="12" spans="1:17" x14ac:dyDescent="0.35">
      <c r="A12" s="5" t="s">
        <v>16</v>
      </c>
      <c r="B12" s="5">
        <v>30000</v>
      </c>
      <c r="C12" s="5">
        <v>90</v>
      </c>
      <c r="D12" s="5" t="str">
        <f t="shared" si="0"/>
        <v>Not Eligible</v>
      </c>
      <c r="E12" s="4"/>
      <c r="F12" s="4"/>
      <c r="G12" s="4"/>
      <c r="H12" s="4"/>
      <c r="I12" s="4"/>
      <c r="J12" s="4"/>
      <c r="K12" s="4"/>
    </row>
    <row r="13" spans="1:17" x14ac:dyDescent="0.35">
      <c r="A13" s="5" t="s">
        <v>17</v>
      </c>
      <c r="B13" s="5">
        <v>25000</v>
      </c>
      <c r="C13" s="5">
        <v>65</v>
      </c>
      <c r="D13" s="5" t="str">
        <f t="shared" si="0"/>
        <v>Not Eligible</v>
      </c>
      <c r="E13" s="4"/>
      <c r="F13" s="4"/>
      <c r="G13" s="4"/>
      <c r="H13" s="4"/>
      <c r="I13" s="4"/>
      <c r="J13" s="4"/>
      <c r="K13" s="4"/>
    </row>
    <row r="14" spans="1:17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E8B8-E068-49A6-A60A-D493BEC1DDD8}">
  <dimension ref="A1:K17"/>
  <sheetViews>
    <sheetView workbookViewId="0">
      <selection activeCell="C11" sqref="C11"/>
    </sheetView>
  </sheetViews>
  <sheetFormatPr defaultRowHeight="14.5" x14ac:dyDescent="0.35"/>
  <cols>
    <col min="1" max="1" width="12.7265625" customWidth="1"/>
  </cols>
  <sheetData>
    <row r="1" spans="1:11" x14ac:dyDescent="0.35">
      <c r="A1" s="1" t="s">
        <v>21</v>
      </c>
      <c r="B1" s="1"/>
      <c r="C1" s="1"/>
      <c r="D1" s="1"/>
      <c r="E1" s="1"/>
      <c r="F1" s="1"/>
      <c r="G1" s="1"/>
    </row>
    <row r="2" spans="1:11" x14ac:dyDescent="0.35">
      <c r="A2" s="1" t="s">
        <v>22</v>
      </c>
      <c r="B2" s="1"/>
      <c r="C2" s="1"/>
      <c r="D2" s="1"/>
      <c r="E2" s="1"/>
      <c r="F2" s="1"/>
      <c r="G2" s="1"/>
    </row>
    <row r="3" spans="1:11" x14ac:dyDescent="0.35">
      <c r="A3" s="6" t="s">
        <v>1</v>
      </c>
      <c r="B3" s="6" t="s">
        <v>2</v>
      </c>
      <c r="C3" s="1"/>
      <c r="D3" s="1"/>
      <c r="E3" s="1"/>
      <c r="F3" s="1"/>
      <c r="G3" s="1"/>
    </row>
    <row r="4" spans="1:11" x14ac:dyDescent="0.35">
      <c r="A4" s="2" t="s">
        <v>23</v>
      </c>
      <c r="B4" s="2">
        <v>85</v>
      </c>
      <c r="C4" s="1"/>
      <c r="D4" s="1"/>
      <c r="E4" s="1"/>
      <c r="F4" s="1"/>
      <c r="G4" s="1"/>
    </row>
    <row r="5" spans="1:11" x14ac:dyDescent="0.35">
      <c r="A5" s="2" t="s">
        <v>24</v>
      </c>
      <c r="B5" s="2">
        <v>96</v>
      </c>
      <c r="C5" s="1"/>
      <c r="D5" s="1"/>
      <c r="E5" s="1"/>
      <c r="F5" s="1"/>
      <c r="G5" s="1"/>
    </row>
    <row r="6" spans="1:11" x14ac:dyDescent="0.35">
      <c r="A6" s="2" t="s">
        <v>25</v>
      </c>
      <c r="B6" s="2">
        <v>57</v>
      </c>
      <c r="C6" s="1"/>
      <c r="D6" s="1"/>
      <c r="E6" s="1"/>
      <c r="F6" s="1"/>
      <c r="G6" s="1"/>
    </row>
    <row r="7" spans="1:11" x14ac:dyDescent="0.35">
      <c r="A7" s="2" t="s">
        <v>26</v>
      </c>
      <c r="B7" s="2">
        <v>92</v>
      </c>
      <c r="C7" s="1"/>
      <c r="D7" s="1"/>
      <c r="E7" s="1"/>
      <c r="F7" s="1"/>
      <c r="G7" s="1"/>
    </row>
    <row r="8" spans="1:11" x14ac:dyDescent="0.35">
      <c r="A8" s="2" t="s">
        <v>27</v>
      </c>
      <c r="B8" s="2">
        <v>75</v>
      </c>
      <c r="C8" s="1"/>
      <c r="D8" s="1"/>
      <c r="E8" s="1"/>
      <c r="F8" s="1"/>
      <c r="G8" s="1"/>
    </row>
    <row r="10" spans="1:11" x14ac:dyDescent="0.35">
      <c r="A10" s="3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35">
      <c r="A11" s="7" t="s">
        <v>1</v>
      </c>
      <c r="B11" s="7" t="s">
        <v>2</v>
      </c>
      <c r="C11" s="7" t="s">
        <v>28</v>
      </c>
      <c r="D11" s="4"/>
      <c r="E11" s="4"/>
      <c r="F11" s="4"/>
      <c r="G11" s="4"/>
      <c r="H11" s="4"/>
      <c r="I11" s="4"/>
      <c r="J11" s="4"/>
      <c r="K11" s="4"/>
    </row>
    <row r="12" spans="1:11" x14ac:dyDescent="0.35">
      <c r="A12" s="5" t="s">
        <v>23</v>
      </c>
      <c r="B12" s="5">
        <v>85</v>
      </c>
      <c r="C12" s="5" t="str">
        <f>IF($B12&gt;=90,"A",IF($B12&gt;=75,"B",IF($B12&gt;=50,"C","Fail")))</f>
        <v>B</v>
      </c>
      <c r="D12" s="4" t="s">
        <v>29</v>
      </c>
      <c r="E12" s="4"/>
      <c r="F12" s="4"/>
      <c r="G12" s="4"/>
      <c r="H12" s="4"/>
      <c r="I12" s="4"/>
      <c r="J12" s="4"/>
      <c r="K12" s="4"/>
    </row>
    <row r="13" spans="1:11" x14ac:dyDescent="0.35">
      <c r="A13" s="5" t="s">
        <v>24</v>
      </c>
      <c r="B13" s="5">
        <v>96</v>
      </c>
      <c r="C13" s="5" t="str">
        <f t="shared" ref="C13:C16" si="0">IF($B13&gt;=90,"A",IF($B13&gt;=75,"B",IF($B13&gt;=50,"C","Fail")))</f>
        <v>A</v>
      </c>
      <c r="D13" s="4"/>
      <c r="E13" s="4"/>
      <c r="F13" s="4"/>
      <c r="G13" s="4"/>
      <c r="H13" s="4"/>
      <c r="I13" s="4"/>
      <c r="J13" s="4"/>
      <c r="K13" s="4"/>
    </row>
    <row r="14" spans="1:11" x14ac:dyDescent="0.35">
      <c r="A14" s="5" t="s">
        <v>25</v>
      </c>
      <c r="B14" s="5">
        <v>57</v>
      </c>
      <c r="C14" s="5" t="str">
        <f t="shared" si="0"/>
        <v>C</v>
      </c>
      <c r="D14" s="4"/>
      <c r="E14" s="4"/>
      <c r="F14" s="4"/>
      <c r="G14" s="4"/>
      <c r="H14" s="4"/>
      <c r="I14" s="4"/>
      <c r="J14" s="4"/>
      <c r="K14" s="4"/>
    </row>
    <row r="15" spans="1:11" x14ac:dyDescent="0.35">
      <c r="A15" s="5" t="s">
        <v>26</v>
      </c>
      <c r="B15" s="5">
        <v>92</v>
      </c>
      <c r="C15" s="5" t="str">
        <f t="shared" si="0"/>
        <v>A</v>
      </c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s="5" t="s">
        <v>27</v>
      </c>
      <c r="B16" s="5">
        <v>75</v>
      </c>
      <c r="C16" s="5" t="str">
        <f t="shared" si="0"/>
        <v>B</v>
      </c>
      <c r="D16" s="4"/>
      <c r="E16" s="4"/>
      <c r="F16" s="4"/>
      <c r="G16" s="4"/>
      <c r="H16" s="4"/>
      <c r="I16" s="4"/>
      <c r="J16" s="4"/>
      <c r="K16" s="4"/>
    </row>
    <row r="17" spans="1:1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37DF-4003-41F0-B19D-674BDC70811C}">
  <dimension ref="A1:K18"/>
  <sheetViews>
    <sheetView workbookViewId="0">
      <selection activeCell="L10" sqref="L10"/>
    </sheetView>
  </sheetViews>
  <sheetFormatPr defaultRowHeight="14.5" x14ac:dyDescent="0.35"/>
  <cols>
    <col min="3" max="3" width="10.81640625" customWidth="1"/>
  </cols>
  <sheetData>
    <row r="1" spans="1:11" x14ac:dyDescent="0.3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</row>
    <row r="2" spans="1:11" x14ac:dyDescent="0.35">
      <c r="A2" s="6" t="s">
        <v>31</v>
      </c>
      <c r="B2" s="6" t="s">
        <v>33</v>
      </c>
      <c r="C2" s="6" t="s">
        <v>32</v>
      </c>
      <c r="D2" s="1"/>
      <c r="E2" s="1"/>
      <c r="F2" s="1"/>
      <c r="G2" s="1"/>
      <c r="H2" s="1"/>
      <c r="I2" s="1"/>
      <c r="J2" s="1"/>
    </row>
    <row r="3" spans="1:11" x14ac:dyDescent="0.35">
      <c r="A3" s="2" t="s">
        <v>34</v>
      </c>
      <c r="B3" s="2" t="s">
        <v>5</v>
      </c>
      <c r="C3" s="2" t="s">
        <v>40</v>
      </c>
      <c r="D3" s="1"/>
      <c r="E3" s="1"/>
      <c r="F3" s="1"/>
      <c r="G3" s="1"/>
      <c r="H3" s="1"/>
      <c r="I3" s="1"/>
      <c r="J3" s="1"/>
    </row>
    <row r="4" spans="1:11" x14ac:dyDescent="0.35">
      <c r="A4" s="2" t="s">
        <v>35</v>
      </c>
      <c r="B4" s="2" t="s">
        <v>3</v>
      </c>
      <c r="C4" s="2" t="s">
        <v>41</v>
      </c>
      <c r="D4" s="1"/>
      <c r="E4" s="1"/>
      <c r="F4" s="1"/>
      <c r="G4" s="1"/>
      <c r="H4" s="1"/>
      <c r="I4" s="1"/>
      <c r="J4" s="1"/>
    </row>
    <row r="5" spans="1:11" x14ac:dyDescent="0.35">
      <c r="A5" s="2" t="s">
        <v>36</v>
      </c>
      <c r="B5" s="2" t="s">
        <v>38</v>
      </c>
      <c r="C5" s="2" t="s">
        <v>42</v>
      </c>
      <c r="D5" s="1"/>
      <c r="E5" s="1"/>
      <c r="F5" s="1"/>
      <c r="G5" s="1"/>
      <c r="H5" s="1"/>
      <c r="I5" s="1"/>
      <c r="J5" s="1"/>
    </row>
    <row r="6" spans="1:11" x14ac:dyDescent="0.35">
      <c r="A6" s="2" t="s">
        <v>37</v>
      </c>
      <c r="B6" s="2" t="s">
        <v>39</v>
      </c>
      <c r="C6" s="2" t="s">
        <v>43</v>
      </c>
      <c r="D6" s="1"/>
      <c r="E6" s="1"/>
      <c r="F6" s="1"/>
      <c r="G6" s="1"/>
      <c r="H6" s="1"/>
      <c r="I6" s="1"/>
      <c r="J6" s="1"/>
    </row>
    <row r="8" spans="1:11" x14ac:dyDescent="0.35">
      <c r="A8" s="3" t="s">
        <v>8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35">
      <c r="A9" s="7" t="s">
        <v>31</v>
      </c>
      <c r="B9" s="7" t="s">
        <v>33</v>
      </c>
      <c r="C9" s="7" t="s">
        <v>32</v>
      </c>
      <c r="D9" s="4"/>
      <c r="E9" s="4"/>
      <c r="F9" s="4"/>
      <c r="G9" s="4"/>
      <c r="H9" s="4"/>
      <c r="I9" s="4"/>
      <c r="J9" s="4"/>
      <c r="K9" s="4"/>
    </row>
    <row r="10" spans="1:11" x14ac:dyDescent="0.35">
      <c r="A10" s="5" t="s">
        <v>34</v>
      </c>
      <c r="B10" s="5" t="s">
        <v>5</v>
      </c>
      <c r="C10" s="5" t="s">
        <v>40</v>
      </c>
      <c r="D10" s="4"/>
      <c r="E10" s="4"/>
      <c r="F10" s="4"/>
      <c r="G10" s="4"/>
      <c r="H10" s="4"/>
      <c r="I10" s="4"/>
      <c r="J10" s="4"/>
      <c r="K10" s="4"/>
    </row>
    <row r="11" spans="1:11" x14ac:dyDescent="0.35">
      <c r="A11" s="5" t="s">
        <v>35</v>
      </c>
      <c r="B11" s="5" t="s">
        <v>3</v>
      </c>
      <c r="C11" s="5" t="s">
        <v>41</v>
      </c>
      <c r="D11" s="4"/>
      <c r="E11" s="4" t="str">
        <f>VLOOKUP($A12,$A$9:$C$13,3,FALSE)</f>
        <v>FINANCE</v>
      </c>
      <c r="F11" s="4"/>
      <c r="G11" s="4"/>
      <c r="H11" s="4"/>
      <c r="I11" s="4"/>
      <c r="J11" s="4"/>
      <c r="K11" s="4"/>
    </row>
    <row r="12" spans="1:11" x14ac:dyDescent="0.35">
      <c r="A12" s="5" t="s">
        <v>36</v>
      </c>
      <c r="B12" s="5" t="s">
        <v>38</v>
      </c>
      <c r="C12" s="5" t="s">
        <v>42</v>
      </c>
      <c r="D12" s="4"/>
      <c r="E12" s="8" t="s">
        <v>44</v>
      </c>
      <c r="F12" s="4"/>
      <c r="G12" s="4"/>
      <c r="H12" s="4"/>
      <c r="I12" s="4"/>
      <c r="J12" s="4"/>
      <c r="K12" s="4"/>
    </row>
    <row r="13" spans="1:11" x14ac:dyDescent="0.35">
      <c r="A13" s="5" t="s">
        <v>37</v>
      </c>
      <c r="B13" s="5" t="s">
        <v>39</v>
      </c>
      <c r="C13" s="5" t="s">
        <v>43</v>
      </c>
      <c r="D13" s="4"/>
      <c r="E13" s="4"/>
      <c r="F13" s="4"/>
      <c r="G13" s="4"/>
      <c r="H13" s="4"/>
      <c r="I13" s="4"/>
      <c r="J13" s="4"/>
      <c r="K13" s="4"/>
    </row>
    <row r="14" spans="1:11" x14ac:dyDescent="0.35">
      <c r="A14" s="4" t="s">
        <v>45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35">
      <c r="A15" s="4" t="s">
        <v>46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s="4" t="s">
        <v>47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5">
      <c r="A17" s="4" t="s">
        <v>48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96D0-9250-4902-A434-49C96CDB6021}">
  <dimension ref="A1:R17"/>
  <sheetViews>
    <sheetView workbookViewId="0">
      <selection activeCell="Q6" sqref="Q6"/>
    </sheetView>
  </sheetViews>
  <sheetFormatPr defaultRowHeight="14.5" x14ac:dyDescent="0.35"/>
  <cols>
    <col min="1" max="1" width="12.81640625" customWidth="1"/>
    <col min="2" max="2" width="16.1796875" customWidth="1"/>
  </cols>
  <sheetData>
    <row r="1" spans="1:18" x14ac:dyDescent="0.3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8" x14ac:dyDescent="0.35">
      <c r="A2" s="6" t="s">
        <v>50</v>
      </c>
      <c r="B2" s="6" t="s">
        <v>51</v>
      </c>
      <c r="C2" s="1"/>
      <c r="D2" s="1"/>
      <c r="E2" s="1"/>
      <c r="F2" s="1"/>
      <c r="G2" s="1"/>
      <c r="H2" s="1"/>
      <c r="I2" s="1"/>
      <c r="J2" s="1"/>
      <c r="K2" s="1"/>
    </row>
    <row r="3" spans="1:18" x14ac:dyDescent="0.35">
      <c r="A3" s="2">
        <v>0</v>
      </c>
      <c r="B3" s="9">
        <v>0.05</v>
      </c>
      <c r="C3" s="1"/>
      <c r="D3" s="1"/>
      <c r="E3" s="1"/>
      <c r="F3" s="1"/>
      <c r="G3" s="1"/>
      <c r="H3" s="1"/>
      <c r="I3" s="1"/>
      <c r="J3" s="1"/>
      <c r="K3" s="1"/>
    </row>
    <row r="4" spans="1:18" x14ac:dyDescent="0.35">
      <c r="A4" s="2">
        <v>20000</v>
      </c>
      <c r="B4" s="9">
        <v>0.1</v>
      </c>
      <c r="C4" s="1"/>
      <c r="D4" s="1"/>
      <c r="E4" s="1"/>
      <c r="F4" s="1"/>
      <c r="G4" s="1"/>
      <c r="H4" s="1"/>
      <c r="I4" s="1"/>
      <c r="J4" s="1"/>
      <c r="K4" s="1"/>
    </row>
    <row r="5" spans="1:18" x14ac:dyDescent="0.35">
      <c r="A5" s="2">
        <v>50000</v>
      </c>
      <c r="B5" s="9">
        <v>0.15</v>
      </c>
      <c r="C5" s="1"/>
      <c r="D5" s="1"/>
      <c r="E5" s="1"/>
      <c r="F5" s="1"/>
      <c r="G5" s="1"/>
      <c r="H5" s="1"/>
      <c r="I5" s="1"/>
      <c r="J5" s="1"/>
      <c r="K5" s="1"/>
    </row>
    <row r="6" spans="1:18" x14ac:dyDescent="0.35">
      <c r="A6" s="2">
        <v>80000</v>
      </c>
      <c r="B6" s="9">
        <v>0.2</v>
      </c>
      <c r="C6" s="1"/>
      <c r="D6" s="1"/>
      <c r="E6" s="1"/>
      <c r="F6" s="1"/>
      <c r="G6" s="1"/>
      <c r="H6" s="1"/>
      <c r="I6" s="1"/>
      <c r="J6" s="1"/>
      <c r="K6" s="1"/>
    </row>
    <row r="7" spans="1:18" x14ac:dyDescent="0.35">
      <c r="A7" s="1" t="s">
        <v>52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8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10" spans="1:18" x14ac:dyDescent="0.35">
      <c r="A10" s="3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35">
      <c r="A11" s="7" t="s">
        <v>50</v>
      </c>
      <c r="B11" s="7" t="s">
        <v>51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35">
      <c r="A12" s="5">
        <v>0</v>
      </c>
      <c r="B12" s="10">
        <v>0.05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35">
      <c r="A13" s="5">
        <v>20000</v>
      </c>
      <c r="B13" s="10">
        <v>0.1</v>
      </c>
      <c r="C13" s="4"/>
      <c r="D13" s="11">
        <f>VLOOKUP(45000,$A$11:$B$15,2,TRUE)</f>
        <v>0.1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35">
      <c r="A14" s="5">
        <v>50000</v>
      </c>
      <c r="B14" s="10">
        <v>0.15</v>
      </c>
      <c r="C14" s="4"/>
      <c r="D14" s="4" t="s">
        <v>53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35">
      <c r="A15" s="5">
        <v>80000</v>
      </c>
      <c r="B15" s="10">
        <v>0.2</v>
      </c>
      <c r="C15" s="4"/>
      <c r="D15" s="4" t="s">
        <v>78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35">
      <c r="A16" s="4"/>
      <c r="B16" s="4"/>
      <c r="C16" s="4"/>
      <c r="D16" s="4" t="s">
        <v>54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2FE4-B326-4D5E-AAD4-6BA0E91B3776}">
  <dimension ref="A1:J16"/>
  <sheetViews>
    <sheetView workbookViewId="0">
      <selection activeCell="C2" sqref="C2"/>
    </sheetView>
  </sheetViews>
  <sheetFormatPr defaultRowHeight="14.5" x14ac:dyDescent="0.35"/>
  <cols>
    <col min="1" max="1" width="14.90625" customWidth="1"/>
    <col min="2" max="2" width="12" customWidth="1"/>
    <col min="3" max="3" width="14.36328125" customWidth="1"/>
    <col min="4" max="4" width="12.36328125" customWidth="1"/>
  </cols>
  <sheetData>
    <row r="1" spans="1:10" x14ac:dyDescent="0.35">
      <c r="A1" s="1" t="s">
        <v>55</v>
      </c>
      <c r="B1" s="1"/>
      <c r="C1" s="1"/>
      <c r="D1" s="1"/>
      <c r="E1" s="1"/>
      <c r="F1" s="1"/>
      <c r="G1" s="1"/>
      <c r="H1" s="1"/>
      <c r="I1" s="1"/>
    </row>
    <row r="2" spans="1:10" x14ac:dyDescent="0.35">
      <c r="A2" s="6" t="s">
        <v>56</v>
      </c>
      <c r="B2" s="6" t="s">
        <v>57</v>
      </c>
      <c r="C2" s="6" t="s">
        <v>58</v>
      </c>
      <c r="D2" s="1"/>
      <c r="E2" s="1"/>
      <c r="F2" s="1"/>
      <c r="G2" s="1"/>
      <c r="H2" s="1"/>
      <c r="I2" s="1"/>
    </row>
    <row r="3" spans="1:10" x14ac:dyDescent="0.35">
      <c r="A3" s="2" t="s">
        <v>59</v>
      </c>
      <c r="B3" s="2">
        <v>10</v>
      </c>
      <c r="C3" s="2">
        <v>12</v>
      </c>
      <c r="D3" s="1"/>
      <c r="E3" s="1"/>
      <c r="F3" s="1"/>
      <c r="G3" s="1"/>
      <c r="H3" s="1"/>
      <c r="I3" s="1"/>
    </row>
    <row r="4" spans="1:10" x14ac:dyDescent="0.35">
      <c r="A4" s="2" t="s">
        <v>60</v>
      </c>
      <c r="B4" s="2">
        <v>10</v>
      </c>
      <c r="C4" s="2">
        <v>15</v>
      </c>
      <c r="D4" s="1"/>
      <c r="E4" s="1"/>
      <c r="F4" s="1"/>
      <c r="G4" s="1"/>
      <c r="H4" s="1"/>
      <c r="I4" s="1"/>
    </row>
    <row r="5" spans="1:10" x14ac:dyDescent="0.35">
      <c r="A5" s="2" t="s">
        <v>61</v>
      </c>
      <c r="B5" s="2">
        <v>8</v>
      </c>
      <c r="C5" s="2">
        <v>12</v>
      </c>
      <c r="D5" s="1"/>
      <c r="E5" s="1"/>
      <c r="F5" s="1"/>
      <c r="G5" s="1"/>
      <c r="H5" s="1"/>
      <c r="I5" s="1"/>
    </row>
    <row r="6" spans="1:10" x14ac:dyDescent="0.35">
      <c r="A6" s="1" t="s">
        <v>62</v>
      </c>
      <c r="B6" s="1"/>
      <c r="C6" s="1"/>
      <c r="D6" s="1"/>
      <c r="E6" s="1"/>
      <c r="F6" s="1"/>
      <c r="G6" s="1"/>
      <c r="H6" s="1"/>
      <c r="I6" s="1"/>
    </row>
    <row r="7" spans="1:10" x14ac:dyDescent="0.35">
      <c r="A7" s="1" t="s">
        <v>63</v>
      </c>
      <c r="B7" s="1"/>
      <c r="C7" s="1"/>
      <c r="D7" s="1"/>
      <c r="E7" s="1"/>
      <c r="F7" s="1"/>
      <c r="G7" s="1"/>
      <c r="H7" s="1"/>
      <c r="I7" s="1"/>
    </row>
    <row r="8" spans="1:10" x14ac:dyDescent="0.35">
      <c r="A8" s="1" t="s">
        <v>64</v>
      </c>
      <c r="B8" s="1"/>
      <c r="C8" s="1"/>
      <c r="D8" s="1"/>
      <c r="E8" s="1"/>
      <c r="F8" s="1"/>
      <c r="G8" s="1"/>
      <c r="H8" s="1"/>
      <c r="I8" s="1"/>
    </row>
    <row r="9" spans="1:10" x14ac:dyDescent="0.35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x14ac:dyDescent="0.35">
      <c r="A10" s="3" t="s">
        <v>8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5" t="s">
        <v>56</v>
      </c>
      <c r="B11" s="5" t="s">
        <v>57</v>
      </c>
      <c r="C11" s="5" t="s">
        <v>58</v>
      </c>
      <c r="D11" s="5" t="s">
        <v>65</v>
      </c>
      <c r="E11" s="4"/>
      <c r="F11" s="4"/>
      <c r="G11" s="4"/>
      <c r="H11" s="4"/>
      <c r="I11" s="4"/>
      <c r="J11" s="4"/>
    </row>
    <row r="12" spans="1:10" x14ac:dyDescent="0.35">
      <c r="A12" s="5" t="s">
        <v>59</v>
      </c>
      <c r="B12" s="5">
        <v>10</v>
      </c>
      <c r="C12" s="5">
        <v>12</v>
      </c>
      <c r="D12" s="5" t="str">
        <f>IF($B12&lt;$C12,"OK","Exceeded")</f>
        <v>OK</v>
      </c>
      <c r="E12" s="4" t="s">
        <v>66</v>
      </c>
      <c r="F12" s="4"/>
      <c r="G12" s="4"/>
      <c r="H12" s="4"/>
      <c r="I12" s="4"/>
      <c r="J12" s="4"/>
    </row>
    <row r="13" spans="1:10" x14ac:dyDescent="0.35">
      <c r="A13" s="5" t="s">
        <v>60</v>
      </c>
      <c r="B13" s="5">
        <v>10</v>
      </c>
      <c r="C13" s="5">
        <v>15</v>
      </c>
      <c r="D13" s="5" t="str">
        <f>IF($B13&lt;$C13,"OK","Exceeded")</f>
        <v>OK</v>
      </c>
      <c r="E13" s="4"/>
      <c r="F13" s="4"/>
      <c r="G13" s="4"/>
      <c r="H13" s="4"/>
      <c r="I13" s="4"/>
      <c r="J13" s="4"/>
    </row>
    <row r="14" spans="1:10" x14ac:dyDescent="0.35">
      <c r="A14" s="5" t="s">
        <v>61</v>
      </c>
      <c r="B14" s="5">
        <v>8</v>
      </c>
      <c r="C14" s="5">
        <v>12</v>
      </c>
      <c r="D14" s="5" t="str">
        <f>IF($B14&lt;$C14,"OK","Exceeded")</f>
        <v>OK</v>
      </c>
      <c r="E14" s="4"/>
      <c r="F14" s="4"/>
      <c r="G14" s="4"/>
      <c r="H14" s="4"/>
      <c r="I14" s="4"/>
      <c r="J14" s="4"/>
    </row>
    <row r="15" spans="1:10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107E-212A-433B-8665-EE27AAD15302}">
  <dimension ref="A1:G12"/>
  <sheetViews>
    <sheetView workbookViewId="0">
      <selection activeCell="A2" sqref="A2"/>
    </sheetView>
  </sheetViews>
  <sheetFormatPr defaultRowHeight="14.5" x14ac:dyDescent="0.35"/>
  <sheetData>
    <row r="1" spans="1:7" x14ac:dyDescent="0.35">
      <c r="A1" s="1" t="s">
        <v>67</v>
      </c>
      <c r="B1" s="1"/>
      <c r="C1" s="1"/>
      <c r="D1" s="1"/>
      <c r="E1" s="1"/>
      <c r="F1" s="1"/>
      <c r="G1" s="1"/>
    </row>
    <row r="2" spans="1:7" x14ac:dyDescent="0.35">
      <c r="A2" s="6" t="s">
        <v>68</v>
      </c>
      <c r="B2" s="6" t="s">
        <v>69</v>
      </c>
      <c r="C2" s="1"/>
      <c r="D2" s="1"/>
      <c r="E2" s="1"/>
      <c r="F2" s="1"/>
      <c r="G2" s="1"/>
    </row>
    <row r="3" spans="1:7" x14ac:dyDescent="0.35">
      <c r="A3" s="2" t="s">
        <v>37</v>
      </c>
      <c r="B3" s="2">
        <v>55000</v>
      </c>
      <c r="C3" s="1"/>
      <c r="D3" s="1"/>
      <c r="E3" s="1"/>
      <c r="F3" s="1"/>
      <c r="G3" s="1"/>
    </row>
    <row r="4" spans="1:7" x14ac:dyDescent="0.35">
      <c r="A4" s="2" t="s">
        <v>70</v>
      </c>
      <c r="B4" s="2">
        <v>72000</v>
      </c>
      <c r="C4" s="1"/>
      <c r="D4" s="1"/>
      <c r="E4" s="1"/>
      <c r="F4" s="1"/>
      <c r="G4" s="1"/>
    </row>
    <row r="5" spans="1:7" x14ac:dyDescent="0.35">
      <c r="A5" s="2" t="s">
        <v>71</v>
      </c>
      <c r="B5" s="2">
        <v>62000</v>
      </c>
      <c r="C5" s="1"/>
      <c r="D5" s="1"/>
      <c r="E5" s="1"/>
      <c r="F5" s="1"/>
      <c r="G5" s="1"/>
    </row>
    <row r="6" spans="1:7" x14ac:dyDescent="0.35">
      <c r="A6" s="2" t="s">
        <v>35</v>
      </c>
      <c r="B6" s="2">
        <v>41000</v>
      </c>
      <c r="C6" s="1"/>
      <c r="D6" s="1"/>
      <c r="E6" s="1"/>
      <c r="F6" s="1"/>
      <c r="G6" s="1"/>
    </row>
    <row r="8" spans="1:7" x14ac:dyDescent="0.35">
      <c r="A8" s="3" t="s">
        <v>8</v>
      </c>
      <c r="B8" s="4"/>
      <c r="C8" s="4"/>
      <c r="D8" s="4"/>
      <c r="E8" s="4"/>
      <c r="F8" s="4"/>
      <c r="G8" s="4"/>
    </row>
    <row r="9" spans="1:7" x14ac:dyDescent="0.35">
      <c r="A9" s="4">
        <f>INDEX($A$2:$B$6,3,2)</f>
        <v>72000</v>
      </c>
      <c r="B9" s="4"/>
      <c r="C9" s="4"/>
      <c r="D9" s="4"/>
      <c r="E9" s="4"/>
      <c r="F9" s="4"/>
      <c r="G9" s="4"/>
    </row>
    <row r="10" spans="1:7" x14ac:dyDescent="0.35">
      <c r="A10" s="4" t="s">
        <v>72</v>
      </c>
      <c r="B10" s="4"/>
      <c r="C10" s="4"/>
      <c r="D10" s="4"/>
      <c r="E10" s="4"/>
      <c r="F10" s="4"/>
      <c r="G10" s="4"/>
    </row>
    <row r="11" spans="1:7" x14ac:dyDescent="0.35">
      <c r="A11" s="4"/>
      <c r="B11" s="4"/>
      <c r="C11" s="4"/>
      <c r="D11" s="4"/>
      <c r="E11" s="4"/>
      <c r="F11" s="4"/>
      <c r="G11" s="4"/>
    </row>
    <row r="12" spans="1:7" x14ac:dyDescent="0.35">
      <c r="A12" s="4"/>
      <c r="B12" s="4"/>
      <c r="C12" s="4"/>
      <c r="D12" s="4"/>
      <c r="E12" s="4"/>
      <c r="F12" s="4"/>
      <c r="G12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9C46-D141-4308-9B01-2A7C2BFA31E9}">
  <dimension ref="A1:I14"/>
  <sheetViews>
    <sheetView tabSelected="1" workbookViewId="0">
      <selection activeCell="E13" sqref="E13"/>
    </sheetView>
  </sheetViews>
  <sheetFormatPr defaultRowHeight="14.5" x14ac:dyDescent="0.35"/>
  <cols>
    <col min="2" max="2" width="12.453125" customWidth="1"/>
  </cols>
  <sheetData>
    <row r="1" spans="1:9" x14ac:dyDescent="0.35">
      <c r="A1" s="1" t="s">
        <v>73</v>
      </c>
      <c r="B1" s="1"/>
      <c r="C1" s="1"/>
      <c r="D1" s="1"/>
      <c r="E1" s="1"/>
      <c r="F1" s="1"/>
      <c r="G1" s="1"/>
      <c r="H1" s="1"/>
      <c r="I1" s="1"/>
    </row>
    <row r="2" spans="1:9" x14ac:dyDescent="0.35">
      <c r="A2" s="6" t="s">
        <v>68</v>
      </c>
      <c r="B2" s="6" t="s">
        <v>32</v>
      </c>
      <c r="C2" s="1"/>
      <c r="D2" s="1"/>
      <c r="E2" s="1"/>
      <c r="F2" s="1"/>
      <c r="G2" s="1"/>
      <c r="H2" s="1"/>
      <c r="I2" s="1"/>
    </row>
    <row r="3" spans="1:9" x14ac:dyDescent="0.35">
      <c r="A3" s="2" t="s">
        <v>34</v>
      </c>
      <c r="B3" s="2" t="s">
        <v>41</v>
      </c>
      <c r="C3" s="1"/>
      <c r="D3" s="1"/>
      <c r="E3" s="1"/>
      <c r="F3" s="1"/>
      <c r="G3" s="1"/>
      <c r="H3" s="1"/>
      <c r="I3" s="1"/>
    </row>
    <row r="4" spans="1:9" x14ac:dyDescent="0.35">
      <c r="A4" s="2" t="s">
        <v>74</v>
      </c>
      <c r="B4" s="2" t="s">
        <v>40</v>
      </c>
      <c r="C4" s="1"/>
      <c r="D4" s="1"/>
      <c r="E4" s="1"/>
      <c r="F4" s="1"/>
      <c r="G4" s="1"/>
      <c r="H4" s="1"/>
      <c r="I4" s="1"/>
    </row>
    <row r="5" spans="1:9" x14ac:dyDescent="0.35">
      <c r="A5" s="2" t="s">
        <v>71</v>
      </c>
      <c r="B5" s="2" t="s">
        <v>12</v>
      </c>
      <c r="C5" s="1"/>
      <c r="D5" s="1"/>
      <c r="E5" s="1"/>
      <c r="F5" s="1"/>
      <c r="G5" s="1"/>
      <c r="H5" s="1"/>
      <c r="I5" s="1"/>
    </row>
    <row r="6" spans="1:9" x14ac:dyDescent="0.35">
      <c r="A6" s="2" t="s">
        <v>75</v>
      </c>
      <c r="B6" s="2" t="s">
        <v>76</v>
      </c>
      <c r="C6" s="1"/>
      <c r="D6" s="1"/>
      <c r="E6" s="1"/>
      <c r="F6" s="1"/>
      <c r="G6" s="1"/>
      <c r="H6" s="1"/>
      <c r="I6" s="1"/>
    </row>
    <row r="7" spans="1:9" x14ac:dyDescent="0.35">
      <c r="A7" s="1"/>
      <c r="B7" s="1"/>
      <c r="C7" s="1"/>
      <c r="D7" s="1"/>
      <c r="E7" s="1"/>
      <c r="F7" s="1"/>
      <c r="G7" s="1"/>
      <c r="H7" s="1"/>
      <c r="I7" s="1"/>
    </row>
    <row r="9" spans="1:9" x14ac:dyDescent="0.35">
      <c r="A9" s="3" t="s">
        <v>8</v>
      </c>
      <c r="B9" s="4"/>
      <c r="C9" s="4"/>
      <c r="D9" s="4"/>
      <c r="E9" s="4"/>
      <c r="F9" s="4"/>
      <c r="G9" s="4"/>
      <c r="H9" s="4"/>
      <c r="I9" s="4"/>
    </row>
    <row r="10" spans="1:9" x14ac:dyDescent="0.35">
      <c r="A10" s="4" t="str">
        <f>_xlfn.XLOOKUP($A4,$A$2:$A$6,$B$2:$B$6)</f>
        <v>IT</v>
      </c>
      <c r="B10" s="4"/>
      <c r="C10" s="4"/>
      <c r="D10" s="4"/>
      <c r="E10" s="4"/>
      <c r="F10" s="4"/>
      <c r="G10" s="4"/>
      <c r="H10" s="4"/>
      <c r="I10" s="4"/>
    </row>
    <row r="11" spans="1:9" x14ac:dyDescent="0.35">
      <c r="A11" s="4" t="s">
        <v>77</v>
      </c>
      <c r="B11" s="4"/>
      <c r="C11" s="4"/>
      <c r="D11" s="4"/>
      <c r="E11" s="4"/>
      <c r="F11" s="4"/>
      <c r="G11" s="4"/>
      <c r="H11" s="4"/>
      <c r="I11" s="4"/>
    </row>
    <row r="12" spans="1:9" x14ac:dyDescent="0.35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3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35">
      <c r="A14" s="4"/>
      <c r="B14" s="4"/>
      <c r="C14" s="4"/>
      <c r="D14" s="4"/>
      <c r="E14" s="4"/>
      <c r="F14" s="4"/>
      <c r="G14" s="4"/>
      <c r="H14" s="4"/>
      <c r="I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Janith a</dc:creator>
  <cp:lastModifiedBy>Janith a</cp:lastModifiedBy>
  <dcterms:created xsi:type="dcterms:W3CDTF">2025-07-21T09:59:32Z</dcterms:created>
  <dcterms:modified xsi:type="dcterms:W3CDTF">2025-12-14T06:57:40Z</dcterms:modified>
</cp:coreProperties>
</file>